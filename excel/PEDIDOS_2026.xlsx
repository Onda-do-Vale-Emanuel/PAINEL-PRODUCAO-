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0E1B0495-12CD-4521-A63D-CFCF9FC3E79D}" xr6:coauthVersionLast="47" xr6:coauthVersionMax="47" xr10:uidLastSave="{00000000-0000-0000-0000-000000000000}"/>
  <bookViews>
    <workbookView xWindow="-109" yWindow="-109" windowWidth="26301" windowHeight="14169" activeTab="1" xr2:uid="{C1828F10-D84A-418A-AAF0-1B51BFAF300A}"/>
  </bookViews>
  <sheets>
    <sheet name="Planilha1" sheetId="1" r:id="rId1"/>
    <sheet name="Planilha2" sheetId="2" r:id="rId2"/>
  </sheets>
  <definedNames>
    <definedName name="_xlnm._FilterDatabase" localSheetId="0" hidden="1">Planilha1!$A$1:$AU$215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7" i="2" s="1"/>
  <c r="B4" i="2"/>
  <c r="B5" i="2"/>
  <c r="B6" i="2"/>
  <c r="B9" i="2" l="1"/>
  <c r="B8" i="2"/>
</calcChain>
</file>

<file path=xl/sharedStrings.xml><?xml version="1.0" encoding="utf-8"?>
<sst xmlns="http://schemas.openxmlformats.org/spreadsheetml/2006/main" count="3639" uniqueCount="226">
  <si>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</si>
  <si>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</si>
  <si>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</si>
  <si>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</si>
  <si>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</si>
  <si>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</si>
  <si>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</si>
  <si>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</si>
  <si>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</si>
  <si>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</si>
  <si>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</si>
  <si>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</si>
  <si>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</si>
  <si>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</si>
  <si>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</si>
  <si>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</si>
  <si>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</si>
  <si>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</si>
  <si>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</si>
  <si>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</si>
  <si>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</si>
  <si>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</si>
  <si>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</si>
  <si>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</si>
  <si>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</si>
  <si>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</si>
  <si>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</si>
  <si>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</si>
  <si>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</si>
  <si>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</si>
  <si>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</si>
  <si>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</si>
  <si>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</si>
  <si>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</si>
  <si>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</si>
  <si>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</si>
  <si>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</si>
  <si>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</si>
  <si>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</si>
  <si>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</si>
  <si>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</si>
  <si>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</si>
  <si>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</si>
  <si>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</si>
  <si>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</si>
  <si>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</si>
  <si>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</si>
  <si>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</si>
  <si>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</si>
  <si>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</si>
  <si>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MERCOFAR-FITAM</t>
  </si>
  <si>
    <t>BIGUACU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</si>
  <si>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</si>
  <si>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</si>
  <si>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</si>
  <si>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</si>
  <si>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</si>
  <si>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</si>
  <si>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</si>
  <si>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</si>
  <si>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</si>
  <si>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SC PEÇAS EIRELI</t>
  </si>
  <si>
    <t>Cliente sem limite crédito.</t>
  </si>
  <si>
    <t>Cliente sem prazo médio.</t>
  </si>
  <si>
    <t>SC BIGUACU</t>
  </si>
  <si>
    <t>BIMG - METVISA</t>
  </si>
  <si>
    <t>BRUSQUE</t>
  </si>
  <si>
    <t>15 DD</t>
  </si>
  <si>
    <t>RIOMAR</t>
  </si>
  <si>
    <t>ITAJAI</t>
  </si>
  <si>
    <t>JEFERSON MENHA</t>
  </si>
  <si>
    <t>TELEVENDAS</t>
  </si>
  <si>
    <t>28 35 42 DD</t>
  </si>
  <si>
    <t>BETUSA</t>
  </si>
  <si>
    <t>INPLAC</t>
  </si>
  <si>
    <t>JOSE RICARDO</t>
  </si>
  <si>
    <t>KARIMEX</t>
  </si>
  <si>
    <t>RD LITORAL REPRESENTACOES LTDA</t>
  </si>
  <si>
    <t>28 42 56 DD</t>
  </si>
  <si>
    <t>SC ITAJAI</t>
  </si>
  <si>
    <t>RAFAEL</t>
  </si>
  <si>
    <t>FORTE EMBALAGENS</t>
  </si>
  <si>
    <t xml:space="preserve">JORANI </t>
  </si>
  <si>
    <t>RIO DOS CEDROS</t>
  </si>
  <si>
    <t>DIRETA</t>
  </si>
  <si>
    <t>30 45 DD</t>
  </si>
  <si>
    <t xml:space="preserve">JORANI - PLASGARDEN </t>
  </si>
  <si>
    <t>INDAIAL</t>
  </si>
  <si>
    <t>AMANCO - MEXICHEM</t>
  </si>
  <si>
    <t>JOINVILLE</t>
  </si>
  <si>
    <t>60 DD</t>
  </si>
  <si>
    <t>Terceiros</t>
  </si>
  <si>
    <t>MARIA</t>
  </si>
  <si>
    <t>FORNOS JUNG</t>
  </si>
  <si>
    <t>BLUMENAU</t>
  </si>
  <si>
    <t>28 DD</t>
  </si>
  <si>
    <t xml:space="preserve">MDN </t>
  </si>
  <si>
    <t xml:space="preserve">COLIBRI </t>
  </si>
  <si>
    <t>PAULO ROBERTO DA SILVA</t>
  </si>
  <si>
    <t>PAULO</t>
  </si>
  <si>
    <t>25 35 45 DD</t>
  </si>
  <si>
    <t>SCHWANKE</t>
  </si>
  <si>
    <t>30 60 75 DD</t>
  </si>
  <si>
    <t>SC PENHA</t>
  </si>
  <si>
    <t xml:space="preserve">STI COMPUTADORES </t>
  </si>
  <si>
    <t>CRISTAL BLUMENAU</t>
  </si>
  <si>
    <t>AMANDA DE OLIVEIRA VIANA</t>
  </si>
  <si>
    <t>14 21 28 DD</t>
  </si>
  <si>
    <t>LEAL</t>
  </si>
  <si>
    <t>NAVEGANTES</t>
  </si>
  <si>
    <t>45 60 75 DD</t>
  </si>
  <si>
    <t>DISTRIBUIDORA MULLER</t>
  </si>
  <si>
    <t>BERTOZZO</t>
  </si>
  <si>
    <t>FLORIANOPOLIS</t>
  </si>
  <si>
    <t>A VISTA</t>
  </si>
  <si>
    <t>SC FLORIANOPOLIS</t>
  </si>
  <si>
    <t>BIFIT INDUSTRIA  DISTRIBUIDORA</t>
  </si>
  <si>
    <t>28 35 DD</t>
  </si>
  <si>
    <t>SC ELETRO</t>
  </si>
  <si>
    <t>BALNEARIO CAMBORIU</t>
  </si>
  <si>
    <t>DANNY</t>
  </si>
  <si>
    <t>RAFAEL E DAIANE</t>
  </si>
  <si>
    <t>42 56 70 DD</t>
  </si>
  <si>
    <t>MENTU S</t>
  </si>
  <si>
    <t>SAO JOSE</t>
  </si>
  <si>
    <t>GRUPAR AUTOPECAS</t>
  </si>
  <si>
    <t>CARIBOR</t>
  </si>
  <si>
    <t>ARTESANATO GRAVATA</t>
  </si>
  <si>
    <t>SC NAVEGANTES</t>
  </si>
  <si>
    <t>INECEL</t>
  </si>
  <si>
    <t>GUARAMIRIM</t>
  </si>
  <si>
    <t>28 35 42 56</t>
  </si>
  <si>
    <t>FASHIONING</t>
  </si>
  <si>
    <t>ENVAZZE</t>
  </si>
  <si>
    <t>30 60 DD</t>
  </si>
  <si>
    <t>CENTRO SUL</t>
  </si>
  <si>
    <t>ONDA DO VALE - FILIAL</t>
  </si>
  <si>
    <t>PALHOCA</t>
  </si>
  <si>
    <t>WETZEL - ELTROTECNICA</t>
  </si>
  <si>
    <t>JINRRA</t>
  </si>
  <si>
    <t>PENHA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</si>
  <si>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</si>
  <si>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</si>
  <si>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</si>
  <si>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</si>
  <si>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</si>
  <si>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</si>
  <si>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</si>
  <si>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</si>
  <si>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</si>
  <si>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M2M TEXTIL</t>
  </si>
  <si>
    <t>ASCURRA</t>
  </si>
  <si>
    <t>30 45 60 DD</t>
  </si>
  <si>
    <t>BREED FIT</t>
  </si>
  <si>
    <t>MAISLUX</t>
  </si>
  <si>
    <t>DECORE PREMIUM</t>
  </si>
  <si>
    <t>TIJUCAS</t>
  </si>
  <si>
    <t>DELICIAS DA TERRINHA</t>
  </si>
  <si>
    <t>GUARULHOS</t>
  </si>
  <si>
    <t>SC GARUVA</t>
  </si>
  <si>
    <t>RIVATTI</t>
  </si>
  <si>
    <t>28 42 56 72 DD</t>
  </si>
  <si>
    <t>SEVEN TEXTIL</t>
  </si>
  <si>
    <t>30 DD</t>
  </si>
  <si>
    <t>SC BRUSQUE</t>
  </si>
  <si>
    <t>BILITON</t>
  </si>
  <si>
    <t>GASPAR</t>
  </si>
  <si>
    <t>ARAQUARI</t>
  </si>
  <si>
    <t>42 DD</t>
  </si>
  <si>
    <t>POD BEBIDAS</t>
  </si>
  <si>
    <t>28 35 42 49 DD</t>
  </si>
  <si>
    <t>SC *** Nenhuma ***</t>
  </si>
  <si>
    <t>JARAGUA DO SUL</t>
  </si>
  <si>
    <t>ELLOS</t>
  </si>
  <si>
    <t>Limite de crédito inferior à soma dos valores pendentes.</t>
  </si>
  <si>
    <t>28 35 42 49 56 DD</t>
  </si>
  <si>
    <t>JUAREZ</t>
  </si>
  <si>
    <t>HIPER TEXTIL</t>
  </si>
  <si>
    <t>UNILUX</t>
  </si>
  <si>
    <t>REIKI</t>
  </si>
  <si>
    <t>SC CAMBORIU</t>
  </si>
  <si>
    <t>PAPINHA BABY</t>
  </si>
  <si>
    <t>30 45 60 75 DD</t>
  </si>
  <si>
    <t>SAMIRA INJETADOS LTDA</t>
  </si>
  <si>
    <t>SAO JOAO BATISTA</t>
  </si>
  <si>
    <t xml:space="preserve">SKIN </t>
  </si>
  <si>
    <t>TREK BRASIL</t>
  </si>
  <si>
    <t>ETIQUETAR</t>
  </si>
  <si>
    <t>CICAMPO</t>
  </si>
  <si>
    <t>TIMBO</t>
  </si>
  <si>
    <t>PACIFIC</t>
  </si>
  <si>
    <t>GRUPO IW8</t>
  </si>
  <si>
    <t>COREMMA</t>
  </si>
  <si>
    <t>QUEENPACK REPRESENTACOES LTDA</t>
  </si>
  <si>
    <t>7 DD</t>
  </si>
  <si>
    <t>GASTRO</t>
  </si>
  <si>
    <t>MICRONICS ENGINEERED FILTRATION GROUP</t>
  </si>
  <si>
    <t>DEYU FISHING NET</t>
  </si>
  <si>
    <t>MELATO METAIS</t>
  </si>
  <si>
    <t>BELA FLOR - SP</t>
  </si>
  <si>
    <t>SAO JOSE DO RIO PRETO</t>
  </si>
  <si>
    <t>RIO BRANCO</t>
  </si>
  <si>
    <t>REALSC EMBALAGENS</t>
  </si>
  <si>
    <t>PAFER</t>
  </si>
  <si>
    <t>DINAMAR</t>
  </si>
  <si>
    <t xml:space="preserve">SMART MAGENTA </t>
  </si>
  <si>
    <t>COOKOA - FABRICA DE ALIMENTOS</t>
  </si>
  <si>
    <t>STB</t>
  </si>
  <si>
    <t>YES EMBALAGENS</t>
  </si>
  <si>
    <t>WILLMIX</t>
  </si>
  <si>
    <t>VIDA BELA COSMETICOS</t>
  </si>
  <si>
    <t>CIAPLASTIC</t>
  </si>
  <si>
    <t>JORANI - GARDENMIX</t>
  </si>
  <si>
    <t>ANTROPOCENO ENGENHARIA</t>
  </si>
  <si>
    <t>total de pedidos</t>
  </si>
  <si>
    <t>KG PREÇO MEDIO</t>
  </si>
  <si>
    <t>M² PREÇO MEDIO</t>
  </si>
  <si>
    <t>TICKT MEDIO</t>
  </si>
  <si>
    <t>FLASH WAY</t>
  </si>
  <si>
    <t>KREUMAC - PRAYON - FERMONT</t>
  </si>
  <si>
    <t>MS COSMETICOS</t>
  </si>
  <si>
    <t>DIEGO</t>
  </si>
  <si>
    <t>BRASILPEX</t>
  </si>
  <si>
    <t>ITAPEMA</t>
  </si>
  <si>
    <t>LUMINATTI</t>
  </si>
  <si>
    <t>ELTON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</si>
</sst>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  <xf numFmtId="44" fontId="0" fillId="0" borderId="0" xfId="1" applyFont="1" applyAlignment="1"/>
    <xf numFmtId="3" fontId="0" fillId="0" borderId="0" xfId="1" applyNumberFormat="1" applyFont="1" applyAlignment="1"/>
    <xf numFmtId="44" fontId="0" fillId="0" borderId="0" xfId="1" applyFont="1"/>
    <xf numFmtId="164" fontId="0" fillId="0" borderId="0" xfId="1" applyNumberFormat="1" applyFont="1"/>
    <xf numFmtId="0" fontId="0" fillId="0" borderId="0" xfId="1" applyNumberFormat="1" applyFont="1"/>
    <xf numFmtId="44" fontId="0" fillId="2" borderId="0" xfId="1" applyFont="1" applyFill="1"/>
    <xf numFmtId="164" fontId="0" fillId="3" borderId="0" xfId="1" applyNumberFormat="1" applyFont="1" applyFill="1"/>
    <xf numFmtId="44" fontId="0" fillId="3" borderId="0" xfId="1" applyFont="1" applyFill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sheetPr filterMode="1"/>
  <dimension ref="A1:AU1843"/>
  <sheetViews>
    <sheetView zoomScale="85" zoomScaleNormal="85" workbookViewId="0">
      <pane ySplit="1" topLeftCell="A177" activePane="bottomLeft" state="frozen"/>
      <selection pane="bottomLeft" activeCell="B192" sqref="B192"/>
    </sheetView>
  </sheetViews>
  <sheetFormatPr defaultRowHeight="14.3" x14ac:dyDescent="0.25"/>
  <cols>
    <col min="1" max="1" width="18.25" customWidth="1"/>
    <col min="2" max="2" width="9.375" bestFit="1" customWidth="1"/>
    <col min="3" max="3" width="7.875" bestFit="1" customWidth="1"/>
    <col min="4" max="4" width="15.25" bestFit="1" customWidth="1"/>
    <col min="5" max="5" width="11.25" bestFit="1" customWidth="1"/>
    <col min="6" max="6" width="26.125" customWidth="1"/>
    <col min="7" max="7" width="25.75" bestFit="1" customWidth="1"/>
    <col min="8" max="8" width="18.5" customWidth="1"/>
    <col min="9" max="9" width="17.625" bestFit="1" customWidth="1"/>
    <col min="10" max="10" width="3.5" customWidth="1"/>
    <col min="11" max="11" width="14" bestFit="1" customWidth="1"/>
    <col min="12" max="12" width="10.25" bestFit="1" customWidth="1"/>
    <col min="13" max="13" width="15.5" style="3" bestFit="1" customWidth="1"/>
    <col min="14" max="14" width="31.75" bestFit="1" customWidth="1"/>
    <col min="15" max="15" width="10.75" bestFit="1" customWidth="1"/>
    <col min="16" max="16" width="13.5" bestFit="1" customWidth="1"/>
    <col min="17" max="17" width="12.75" bestFit="1" customWidth="1"/>
    <col min="18" max="18" width="15.75" bestFit="1" customWidth="1"/>
    <col min="19" max="19" width="10.375" bestFit="1" customWidth="1"/>
    <col min="20" max="20" width="13" bestFit="1" customWidth="1"/>
    <col min="21" max="21" width="6.25" bestFit="1" customWidth="1"/>
    <col min="22" max="22" width="15.375" bestFit="1" customWidth="1"/>
    <col min="23" max="23" width="21.25" bestFit="1" customWidth="1"/>
    <col min="24" max="24" width="12.875" bestFit="1" customWidth="1"/>
    <col min="25" max="25" width="60.625" bestFit="1" customWidth="1"/>
    <col min="26" max="27" width="11.875" bestFit="1" customWidth="1"/>
    <col min="28" max="28" width="13" bestFit="1" customWidth="1"/>
    <col min="29" max="29" width="11.75" bestFit="1" customWidth="1"/>
    <col min="30" max="30" width="11.375" bestFit="1" customWidth="1"/>
    <col min="31" max="31" width="12.875" bestFit="1" customWidth="1"/>
    <col min="32" max="32" width="13.5" bestFit="1" customWidth="1"/>
    <col min="33" max="33" width="7.25" bestFit="1" customWidth="1"/>
    <col min="34" max="34" width="18.375" bestFit="1" customWidth="1"/>
    <col min="35" max="35" width="15" bestFit="1" customWidth="1"/>
    <col min="36" max="36" width="13.875" bestFit="1" customWidth="1"/>
    <col min="37" max="37" width="16.5" bestFit="1" customWidth="1"/>
    <col min="38" max="38" width="16.75" bestFit="1" customWidth="1"/>
    <col min="39" max="39" width="18.25" bestFit="1" customWidth="1"/>
    <col min="40" max="40" width="15.25" bestFit="1" customWidth="1"/>
    <col min="41" max="41" width="11.75" bestFit="1" customWidth="1"/>
    <col min="42" max="42" width="17.75" bestFit="1" customWidth="1"/>
    <col min="43" max="43" width="21.375" bestFit="1" customWidth="1"/>
    <col min="44" max="44" width="11.625" bestFit="1" customWidth="1"/>
    <col min="45" max="45" width="15.5" bestFit="1" customWidth="1"/>
    <col min="46" max="46" width="12.75" bestFit="1" customWidth="1"/>
    <col min="47" max="47" width="13.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idden="1" x14ac:dyDescent="0.25">
      <c r="A2" t="s">
        <v>47</v>
      </c>
      <c r="B2" s="1">
        <v>38394</v>
      </c>
      <c r="C2" t="s">
        <v>48</v>
      </c>
      <c r="D2" t="s">
        <v>49</v>
      </c>
      <c r="E2" s="2">
        <v>46027</v>
      </c>
      <c r="F2" t="s">
        <v>50</v>
      </c>
      <c r="G2" t="s">
        <v>51</v>
      </c>
      <c r="H2" s="3">
        <v>26483</v>
      </c>
      <c r="I2" s="3">
        <v>26483</v>
      </c>
      <c r="J2">
        <v>0</v>
      </c>
      <c r="K2" s="3">
        <v>30455.45</v>
      </c>
      <c r="L2" s="3">
        <v>3792.3</v>
      </c>
      <c r="M2" s="3">
        <v>1900.38</v>
      </c>
      <c r="N2" t="s">
        <v>52</v>
      </c>
      <c r="O2" t="s">
        <v>53</v>
      </c>
      <c r="P2" t="s">
        <v>53</v>
      </c>
      <c r="Q2" t="s">
        <v>53</v>
      </c>
      <c r="R2" t="s">
        <v>54</v>
      </c>
      <c r="S2" t="s">
        <v>54</v>
      </c>
      <c r="T2" t="s">
        <v>55</v>
      </c>
      <c r="U2">
        <v>126</v>
      </c>
      <c r="V2" t="s">
        <v>56</v>
      </c>
      <c r="W2" t="s">
        <v>57</v>
      </c>
      <c r="X2" s="4">
        <v>0</v>
      </c>
      <c r="Y2" t="s">
        <v>58</v>
      </c>
      <c r="Z2" s="3">
        <v>3792.3</v>
      </c>
      <c r="AA2">
        <v>0</v>
      </c>
      <c r="AB2" s="3">
        <v>0</v>
      </c>
      <c r="AC2">
        <v>0</v>
      </c>
      <c r="AD2">
        <v>0</v>
      </c>
      <c r="AE2" s="3">
        <v>1600</v>
      </c>
      <c r="AF2" t="s">
        <v>54</v>
      </c>
      <c r="AG2" t="s">
        <v>59</v>
      </c>
      <c r="AI2" t="s">
        <v>60</v>
      </c>
      <c r="AJ2" t="s">
        <v>60</v>
      </c>
      <c r="AK2" s="5">
        <v>46027.438668981478</v>
      </c>
      <c r="AO2" t="s">
        <v>54</v>
      </c>
      <c r="AP2">
        <v>0</v>
      </c>
      <c r="AR2" t="s">
        <v>54</v>
      </c>
      <c r="AS2" t="s">
        <v>54</v>
      </c>
      <c r="AT2">
        <v>6611</v>
      </c>
      <c r="AU2" t="s">
        <v>55</v>
      </c>
    </row>
    <row r="3" spans="1:47" hidden="1" x14ac:dyDescent="0.25">
      <c r="A3" t="s">
        <v>47</v>
      </c>
      <c r="B3" s="1">
        <v>38395</v>
      </c>
      <c r="C3" t="s">
        <v>48</v>
      </c>
      <c r="D3" t="s">
        <v>49</v>
      </c>
      <c r="E3" s="2">
        <v>46027</v>
      </c>
      <c r="F3" t="s">
        <v>61</v>
      </c>
      <c r="G3" t="s">
        <v>51</v>
      </c>
      <c r="H3" s="3">
        <v>13167</v>
      </c>
      <c r="I3" s="3">
        <v>13167</v>
      </c>
      <c r="J3">
        <v>0</v>
      </c>
      <c r="K3" s="3">
        <v>15142.05</v>
      </c>
      <c r="L3" s="3">
        <v>1604.7</v>
      </c>
      <c r="M3" s="3">
        <v>994.91</v>
      </c>
      <c r="N3" t="s">
        <v>52</v>
      </c>
      <c r="O3" t="s">
        <v>53</v>
      </c>
      <c r="P3" t="s">
        <v>53</v>
      </c>
      <c r="Q3" t="s">
        <v>53</v>
      </c>
      <c r="R3" t="s">
        <v>54</v>
      </c>
      <c r="S3" t="s">
        <v>54</v>
      </c>
      <c r="T3" t="s">
        <v>55</v>
      </c>
      <c r="U3">
        <v>126</v>
      </c>
      <c r="V3" t="s">
        <v>56</v>
      </c>
      <c r="W3" t="s">
        <v>57</v>
      </c>
      <c r="X3" s="4">
        <v>0</v>
      </c>
      <c r="Y3" t="s">
        <v>62</v>
      </c>
      <c r="Z3" s="3"/>
      <c r="AE3" s="3"/>
      <c r="AK3" s="5"/>
    </row>
    <row r="4" spans="1:47" hidden="1" x14ac:dyDescent="0.25">
      <c r="A4" t="s">
        <v>63</v>
      </c>
      <c r="B4" s="1">
        <v>0</v>
      </c>
      <c r="C4">
        <v>0</v>
      </c>
      <c r="D4" s="3">
        <v>1604.7</v>
      </c>
      <c r="E4" s="2">
        <v>0</v>
      </c>
      <c r="F4">
        <v>0</v>
      </c>
      <c r="G4" s="3">
        <v>1600</v>
      </c>
      <c r="H4" s="3" t="s">
        <v>54</v>
      </c>
      <c r="I4" s="3" t="s">
        <v>59</v>
      </c>
      <c r="J4" t="s">
        <v>64</v>
      </c>
      <c r="K4" s="3" t="s">
        <v>60</v>
      </c>
      <c r="L4" s="3" t="s">
        <v>60</v>
      </c>
      <c r="M4" s="3">
        <v>46027.476736111108</v>
      </c>
      <c r="Q4" t="s">
        <v>54</v>
      </c>
      <c r="R4">
        <v>0</v>
      </c>
      <c r="T4" t="s">
        <v>54</v>
      </c>
      <c r="U4" t="s">
        <v>54</v>
      </c>
      <c r="V4">
        <v>7006</v>
      </c>
      <c r="W4" t="s">
        <v>55</v>
      </c>
      <c r="X4" s="4"/>
      <c r="AE4" s="3"/>
      <c r="AK4" s="5"/>
    </row>
    <row r="5" spans="1:47" hidden="1" x14ac:dyDescent="0.25">
      <c r="A5" t="s">
        <v>47</v>
      </c>
      <c r="B5" s="1">
        <v>38396</v>
      </c>
      <c r="C5" s="3" t="s">
        <v>48</v>
      </c>
      <c r="D5" t="s">
        <v>49</v>
      </c>
      <c r="E5" s="2">
        <v>46027</v>
      </c>
      <c r="F5" t="s">
        <v>65</v>
      </c>
      <c r="G5" s="3" t="s">
        <v>66</v>
      </c>
      <c r="H5" s="3">
        <v>11994</v>
      </c>
      <c r="I5" s="3">
        <v>11994</v>
      </c>
      <c r="J5">
        <v>0</v>
      </c>
      <c r="K5" s="3">
        <v>13793.1</v>
      </c>
      <c r="L5" s="3">
        <v>1168</v>
      </c>
      <c r="M5" s="3">
        <v>724.16</v>
      </c>
      <c r="N5" t="s">
        <v>52</v>
      </c>
      <c r="O5" t="s">
        <v>53</v>
      </c>
      <c r="P5" t="s">
        <v>53</v>
      </c>
      <c r="Q5" t="s">
        <v>53</v>
      </c>
      <c r="R5" t="s">
        <v>54</v>
      </c>
      <c r="S5" t="s">
        <v>54</v>
      </c>
      <c r="T5" t="s">
        <v>55</v>
      </c>
      <c r="U5">
        <v>126</v>
      </c>
      <c r="V5" t="s">
        <v>56</v>
      </c>
      <c r="W5" t="s">
        <v>67</v>
      </c>
      <c r="X5" s="4">
        <v>0</v>
      </c>
      <c r="Y5" t="s">
        <v>58</v>
      </c>
      <c r="Z5">
        <v>0</v>
      </c>
      <c r="AA5">
        <v>0</v>
      </c>
      <c r="AB5" s="3">
        <v>1168</v>
      </c>
      <c r="AC5">
        <v>0</v>
      </c>
      <c r="AD5">
        <v>0</v>
      </c>
      <c r="AE5">
        <v>400</v>
      </c>
      <c r="AF5" t="s">
        <v>54</v>
      </c>
      <c r="AG5" t="s">
        <v>59</v>
      </c>
      <c r="AI5" t="s">
        <v>60</v>
      </c>
      <c r="AJ5" t="s">
        <v>60</v>
      </c>
      <c r="AK5" s="5">
        <v>46027.627013888887</v>
      </c>
      <c r="AO5" t="s">
        <v>54</v>
      </c>
      <c r="AP5">
        <v>0</v>
      </c>
      <c r="AR5" t="s">
        <v>54</v>
      </c>
      <c r="AS5" t="s">
        <v>54</v>
      </c>
      <c r="AT5">
        <v>1269</v>
      </c>
      <c r="AU5" t="s">
        <v>55</v>
      </c>
    </row>
    <row r="6" spans="1:47" hidden="1" x14ac:dyDescent="0.25">
      <c r="A6" t="s">
        <v>47</v>
      </c>
      <c r="B6" s="1">
        <v>38397</v>
      </c>
      <c r="C6" t="s">
        <v>48</v>
      </c>
      <c r="D6" t="s">
        <v>49</v>
      </c>
      <c r="E6" s="2">
        <v>46028</v>
      </c>
      <c r="F6" t="s">
        <v>68</v>
      </c>
      <c r="G6" t="s">
        <v>69</v>
      </c>
      <c r="H6" s="3">
        <v>3220</v>
      </c>
      <c r="I6" s="3">
        <v>3220</v>
      </c>
      <c r="J6">
        <v>0</v>
      </c>
      <c r="K6" s="3">
        <v>3703</v>
      </c>
      <c r="L6" s="3">
        <v>516</v>
      </c>
      <c r="M6" s="3">
        <v>242.52</v>
      </c>
      <c r="N6" t="s">
        <v>70</v>
      </c>
      <c r="O6" t="s">
        <v>53</v>
      </c>
      <c r="P6" t="s">
        <v>53</v>
      </c>
      <c r="Q6" t="s">
        <v>53</v>
      </c>
      <c r="R6" t="s">
        <v>54</v>
      </c>
      <c r="S6" t="s">
        <v>54</v>
      </c>
      <c r="T6" t="s">
        <v>55</v>
      </c>
      <c r="U6">
        <v>76</v>
      </c>
      <c r="V6" t="s">
        <v>71</v>
      </c>
      <c r="W6" t="s">
        <v>72</v>
      </c>
      <c r="X6" s="4">
        <v>0</v>
      </c>
      <c r="Y6" t="s">
        <v>62</v>
      </c>
      <c r="AB6" s="3"/>
      <c r="AE6" s="3"/>
      <c r="AK6" s="5"/>
    </row>
    <row r="7" spans="1:47" hidden="1" x14ac:dyDescent="0.25">
      <c r="A7" t="s">
        <v>63</v>
      </c>
      <c r="B7" s="1">
        <v>0</v>
      </c>
      <c r="C7">
        <v>0</v>
      </c>
      <c r="D7">
        <v>0</v>
      </c>
      <c r="E7" s="2">
        <v>0</v>
      </c>
      <c r="F7">
        <v>516</v>
      </c>
      <c r="G7" s="3">
        <v>400</v>
      </c>
      <c r="H7" s="3" t="s">
        <v>54</v>
      </c>
      <c r="I7" s="3" t="s">
        <v>59</v>
      </c>
      <c r="K7" s="3" t="s">
        <v>73</v>
      </c>
      <c r="L7" s="3" t="s">
        <v>73</v>
      </c>
      <c r="M7" s="3">
        <v>46028.488078703704</v>
      </c>
      <c r="Q7" t="s">
        <v>54</v>
      </c>
      <c r="R7">
        <v>0</v>
      </c>
      <c r="T7" t="s">
        <v>54</v>
      </c>
      <c r="U7" t="s">
        <v>54</v>
      </c>
      <c r="V7">
        <v>139</v>
      </c>
      <c r="W7" t="s">
        <v>55</v>
      </c>
      <c r="X7" s="4"/>
      <c r="Z7" s="3"/>
      <c r="AE7" s="3"/>
      <c r="AK7" s="5"/>
    </row>
    <row r="8" spans="1:47" hidden="1" x14ac:dyDescent="0.25">
      <c r="A8" t="s">
        <v>47</v>
      </c>
      <c r="B8" s="1">
        <v>38398</v>
      </c>
      <c r="C8" t="s">
        <v>48</v>
      </c>
      <c r="D8" t="s">
        <v>49</v>
      </c>
      <c r="E8" s="2">
        <v>46028</v>
      </c>
      <c r="F8" s="3" t="s">
        <v>74</v>
      </c>
      <c r="G8" s="3" t="s">
        <v>51</v>
      </c>
      <c r="H8" s="3">
        <v>3283</v>
      </c>
      <c r="I8" s="3">
        <v>3283</v>
      </c>
      <c r="J8">
        <v>0</v>
      </c>
      <c r="K8" s="3">
        <v>3775.45</v>
      </c>
      <c r="L8" s="3">
        <v>353</v>
      </c>
      <c r="M8" s="3">
        <v>218.86</v>
      </c>
      <c r="N8" t="s">
        <v>75</v>
      </c>
      <c r="O8" t="s">
        <v>53</v>
      </c>
      <c r="P8" t="s">
        <v>53</v>
      </c>
      <c r="Q8" t="s">
        <v>53</v>
      </c>
      <c r="R8" t="s">
        <v>54</v>
      </c>
      <c r="S8" t="s">
        <v>54</v>
      </c>
      <c r="T8" t="s">
        <v>55</v>
      </c>
      <c r="U8">
        <v>43</v>
      </c>
      <c r="W8" t="s">
        <v>72</v>
      </c>
      <c r="X8" s="4">
        <v>0</v>
      </c>
      <c r="Y8" t="s">
        <v>58</v>
      </c>
      <c r="Z8" s="3">
        <v>0</v>
      </c>
      <c r="AA8">
        <v>0</v>
      </c>
      <c r="AB8" s="3">
        <v>353</v>
      </c>
      <c r="AC8">
        <v>0</v>
      </c>
      <c r="AD8">
        <v>0</v>
      </c>
      <c r="AE8" s="3">
        <v>200</v>
      </c>
      <c r="AF8" t="s">
        <v>54</v>
      </c>
      <c r="AG8" t="s">
        <v>59</v>
      </c>
      <c r="AI8" t="s">
        <v>73</v>
      </c>
      <c r="AJ8" t="s">
        <v>73</v>
      </c>
      <c r="AK8" s="5">
        <v>46044.706817129627</v>
      </c>
      <c r="AO8" t="s">
        <v>54</v>
      </c>
      <c r="AP8">
        <v>0</v>
      </c>
      <c r="AR8" t="s">
        <v>54</v>
      </c>
      <c r="AS8" t="s">
        <v>54</v>
      </c>
      <c r="AT8">
        <v>8469</v>
      </c>
      <c r="AU8" t="s">
        <v>55</v>
      </c>
    </row>
    <row r="9" spans="1:47" hidden="1" x14ac:dyDescent="0.25">
      <c r="A9" t="s">
        <v>47</v>
      </c>
      <c r="B9" s="1">
        <v>38399</v>
      </c>
      <c r="C9" t="s">
        <v>48</v>
      </c>
      <c r="D9" t="s">
        <v>49</v>
      </c>
      <c r="E9" s="2">
        <v>46028</v>
      </c>
      <c r="F9" t="s">
        <v>76</v>
      </c>
      <c r="G9" t="s">
        <v>69</v>
      </c>
      <c r="H9" s="3">
        <v>14397</v>
      </c>
      <c r="I9" s="3">
        <v>14397</v>
      </c>
      <c r="J9">
        <v>0</v>
      </c>
      <c r="K9" s="3">
        <v>16556.55</v>
      </c>
      <c r="L9" s="3">
        <v>2219.1</v>
      </c>
      <c r="M9" s="3">
        <v>1042.99</v>
      </c>
      <c r="N9" t="s">
        <v>77</v>
      </c>
      <c r="O9" t="s">
        <v>53</v>
      </c>
      <c r="P9" t="s">
        <v>53</v>
      </c>
      <c r="Q9" t="s">
        <v>53</v>
      </c>
      <c r="R9" t="s">
        <v>54</v>
      </c>
      <c r="S9" t="s">
        <v>54</v>
      </c>
      <c r="T9" t="s">
        <v>55</v>
      </c>
      <c r="U9">
        <v>83</v>
      </c>
      <c r="W9" t="s">
        <v>78</v>
      </c>
      <c r="X9" s="4">
        <v>0</v>
      </c>
      <c r="Y9" t="s">
        <v>58</v>
      </c>
      <c r="Z9">
        <v>0</v>
      </c>
      <c r="AA9">
        <v>0</v>
      </c>
      <c r="AB9" s="3">
        <v>0</v>
      </c>
      <c r="AC9">
        <v>0</v>
      </c>
      <c r="AD9" s="3">
        <v>2219.1</v>
      </c>
      <c r="AE9" s="3">
        <v>2600</v>
      </c>
      <c r="AF9" t="s">
        <v>54</v>
      </c>
      <c r="AG9" t="s">
        <v>59</v>
      </c>
      <c r="AH9" t="s">
        <v>79</v>
      </c>
      <c r="AI9" t="s">
        <v>80</v>
      </c>
      <c r="AJ9" t="s">
        <v>73</v>
      </c>
      <c r="AK9" s="5">
        <v>46028.701481481483</v>
      </c>
      <c r="AO9" t="s">
        <v>54</v>
      </c>
      <c r="AP9">
        <v>0</v>
      </c>
      <c r="AR9" t="s">
        <v>54</v>
      </c>
      <c r="AS9" t="s">
        <v>54</v>
      </c>
      <c r="AT9">
        <v>3870</v>
      </c>
      <c r="AU9" t="s">
        <v>55</v>
      </c>
    </row>
    <row r="10" spans="1:47" hidden="1" x14ac:dyDescent="0.25">
      <c r="A10" t="s">
        <v>47</v>
      </c>
      <c r="B10" s="1">
        <v>38400</v>
      </c>
      <c r="C10" t="s">
        <v>48</v>
      </c>
      <c r="D10" t="s">
        <v>49</v>
      </c>
      <c r="E10" s="2">
        <v>46028</v>
      </c>
      <c r="F10" t="s">
        <v>76</v>
      </c>
      <c r="G10" s="3" t="s">
        <v>69</v>
      </c>
      <c r="H10" s="3">
        <v>14397</v>
      </c>
      <c r="I10" s="3">
        <v>14397</v>
      </c>
      <c r="J10">
        <v>0</v>
      </c>
      <c r="K10" s="3">
        <v>16556.55</v>
      </c>
      <c r="L10" s="3">
        <v>2219.1</v>
      </c>
      <c r="M10" s="3">
        <v>1042.99</v>
      </c>
      <c r="N10" t="s">
        <v>77</v>
      </c>
      <c r="O10" t="s">
        <v>53</v>
      </c>
      <c r="P10" t="s">
        <v>53</v>
      </c>
      <c r="Q10" t="s">
        <v>53</v>
      </c>
      <c r="R10" t="s">
        <v>54</v>
      </c>
      <c r="S10" t="s">
        <v>54</v>
      </c>
      <c r="T10" t="s">
        <v>55</v>
      </c>
      <c r="U10">
        <v>83</v>
      </c>
      <c r="W10" t="s">
        <v>78</v>
      </c>
      <c r="X10" s="4">
        <v>0</v>
      </c>
      <c r="Y10" t="s">
        <v>58</v>
      </c>
      <c r="Z10" s="3">
        <v>0</v>
      </c>
      <c r="AA10">
        <v>0</v>
      </c>
      <c r="AB10">
        <v>0</v>
      </c>
      <c r="AC10">
        <v>0</v>
      </c>
      <c r="AD10" s="3">
        <v>2219.1</v>
      </c>
      <c r="AE10" s="3">
        <v>2600</v>
      </c>
      <c r="AF10" t="s">
        <v>54</v>
      </c>
      <c r="AG10" t="s">
        <v>59</v>
      </c>
      <c r="AH10" t="s">
        <v>79</v>
      </c>
      <c r="AI10" t="s">
        <v>80</v>
      </c>
      <c r="AJ10" t="s">
        <v>73</v>
      </c>
      <c r="AK10" s="5">
        <v>46028.703252314815</v>
      </c>
      <c r="AO10" t="s">
        <v>54</v>
      </c>
      <c r="AP10">
        <v>0</v>
      </c>
      <c r="AR10" t="s">
        <v>54</v>
      </c>
      <c r="AS10" t="s">
        <v>54</v>
      </c>
      <c r="AT10">
        <v>3870</v>
      </c>
      <c r="AU10" t="s">
        <v>55</v>
      </c>
    </row>
    <row r="11" spans="1:47" hidden="1" x14ac:dyDescent="0.25">
      <c r="A11" t="s">
        <v>81</v>
      </c>
      <c r="B11" s="1">
        <v>38401</v>
      </c>
      <c r="C11" t="s">
        <v>48</v>
      </c>
      <c r="D11" t="s">
        <v>49</v>
      </c>
      <c r="E11" s="2">
        <v>46029</v>
      </c>
      <c r="F11" t="s">
        <v>82</v>
      </c>
      <c r="G11" t="s">
        <v>83</v>
      </c>
      <c r="H11" s="3">
        <v>2475</v>
      </c>
      <c r="I11" s="3">
        <v>2475</v>
      </c>
      <c r="J11">
        <v>0</v>
      </c>
      <c r="K11" s="3">
        <v>2475</v>
      </c>
      <c r="L11" s="3">
        <v>622.75</v>
      </c>
      <c r="M11" s="3">
        <v>228.55</v>
      </c>
      <c r="N11" t="s">
        <v>84</v>
      </c>
      <c r="O11" t="s">
        <v>53</v>
      </c>
      <c r="P11" t="s">
        <v>53</v>
      </c>
      <c r="Q11" t="s">
        <v>53</v>
      </c>
      <c r="R11" t="s">
        <v>54</v>
      </c>
      <c r="S11" t="s">
        <v>54</v>
      </c>
      <c r="T11" t="s">
        <v>55</v>
      </c>
      <c r="U11">
        <v>9</v>
      </c>
      <c r="V11" t="s">
        <v>71</v>
      </c>
      <c r="W11" t="s">
        <v>85</v>
      </c>
      <c r="X11" s="4">
        <v>0</v>
      </c>
      <c r="Y11" t="s">
        <v>62</v>
      </c>
      <c r="AB11" s="3"/>
      <c r="AE11" s="3"/>
      <c r="AK11" s="5"/>
    </row>
    <row r="12" spans="1:47" hidden="1" x14ac:dyDescent="0.25">
      <c r="A12" t="s">
        <v>63</v>
      </c>
      <c r="B12" s="1">
        <v>622.75</v>
      </c>
      <c r="C12">
        <v>0</v>
      </c>
      <c r="D12">
        <v>0</v>
      </c>
      <c r="E12" s="2">
        <v>0</v>
      </c>
      <c r="F12">
        <v>0</v>
      </c>
      <c r="G12">
        <v>500</v>
      </c>
      <c r="H12" s="3" t="s">
        <v>54</v>
      </c>
      <c r="I12" s="3" t="s">
        <v>59</v>
      </c>
      <c r="K12" s="3" t="s">
        <v>73</v>
      </c>
      <c r="L12" s="3" t="s">
        <v>73</v>
      </c>
      <c r="M12" s="3">
        <v>46029.349988425929</v>
      </c>
      <c r="Q12" t="s">
        <v>54</v>
      </c>
      <c r="R12">
        <v>0</v>
      </c>
      <c r="T12" t="s">
        <v>54</v>
      </c>
      <c r="U12" t="s">
        <v>54</v>
      </c>
      <c r="V12">
        <v>2154</v>
      </c>
      <c r="W12" t="s">
        <v>55</v>
      </c>
      <c r="X12" s="4"/>
      <c r="Z12" s="3"/>
      <c r="AD12" s="3"/>
      <c r="AE12" s="3"/>
      <c r="AK12" s="5"/>
    </row>
    <row r="13" spans="1:47" hidden="1" x14ac:dyDescent="0.25">
      <c r="A13" t="s">
        <v>81</v>
      </c>
      <c r="B13" s="3">
        <v>38402</v>
      </c>
      <c r="C13" t="s">
        <v>48</v>
      </c>
      <c r="D13" t="s">
        <v>49</v>
      </c>
      <c r="E13" s="2">
        <v>46029</v>
      </c>
      <c r="F13" t="s">
        <v>86</v>
      </c>
      <c r="G13" s="3" t="s">
        <v>87</v>
      </c>
      <c r="H13" s="3">
        <v>2475</v>
      </c>
      <c r="I13" s="3">
        <v>2475</v>
      </c>
      <c r="J13">
        <v>0</v>
      </c>
      <c r="K13" s="3">
        <v>2475</v>
      </c>
      <c r="L13" s="3">
        <v>622.75</v>
      </c>
      <c r="M13" s="3">
        <v>228.55</v>
      </c>
      <c r="N13" t="s">
        <v>84</v>
      </c>
      <c r="O13" t="s">
        <v>53</v>
      </c>
      <c r="P13" t="s">
        <v>53</v>
      </c>
      <c r="Q13" t="s">
        <v>53</v>
      </c>
      <c r="R13" t="s">
        <v>54</v>
      </c>
      <c r="S13" t="s">
        <v>54</v>
      </c>
      <c r="T13" t="s">
        <v>55</v>
      </c>
      <c r="U13">
        <v>9</v>
      </c>
      <c r="W13" t="s">
        <v>85</v>
      </c>
      <c r="X13" s="4">
        <v>0</v>
      </c>
      <c r="Y13" t="s">
        <v>62</v>
      </c>
      <c r="AK13" s="5"/>
    </row>
    <row r="14" spans="1:47" hidden="1" x14ac:dyDescent="0.25">
      <c r="A14" t="s">
        <v>63</v>
      </c>
      <c r="B14" s="1">
        <v>622.75</v>
      </c>
      <c r="C14" s="3">
        <v>0</v>
      </c>
      <c r="D14" s="3">
        <v>0</v>
      </c>
      <c r="E14" s="2">
        <v>0</v>
      </c>
      <c r="F14">
        <v>0</v>
      </c>
      <c r="G14" s="3">
        <v>500</v>
      </c>
      <c r="H14" s="3" t="s">
        <v>54</v>
      </c>
      <c r="I14" s="3" t="s">
        <v>59</v>
      </c>
      <c r="K14" s="3" t="s">
        <v>73</v>
      </c>
      <c r="L14" s="3" t="s">
        <v>73</v>
      </c>
      <c r="M14" s="3">
        <v>46029.355856481481</v>
      </c>
      <c r="Q14" t="s">
        <v>54</v>
      </c>
      <c r="R14">
        <v>0</v>
      </c>
      <c r="T14" t="s">
        <v>54</v>
      </c>
      <c r="U14" t="s">
        <v>54</v>
      </c>
      <c r="V14">
        <v>5254</v>
      </c>
      <c r="W14" t="s">
        <v>55</v>
      </c>
      <c r="X14" s="4"/>
      <c r="AE14" s="3"/>
      <c r="AK14" s="5"/>
    </row>
    <row r="15" spans="1:47" hidden="1" x14ac:dyDescent="0.25">
      <c r="A15" t="s">
        <v>47</v>
      </c>
      <c r="B15" s="1">
        <v>38403</v>
      </c>
      <c r="C15" t="s">
        <v>48</v>
      </c>
      <c r="D15" t="s">
        <v>49</v>
      </c>
      <c r="E15" s="2">
        <v>46029</v>
      </c>
      <c r="F15" t="s">
        <v>88</v>
      </c>
      <c r="G15" s="3" t="s">
        <v>89</v>
      </c>
      <c r="H15" s="3">
        <v>1963.5</v>
      </c>
      <c r="I15" s="3">
        <v>1963.5</v>
      </c>
      <c r="J15">
        <v>0</v>
      </c>
      <c r="K15" s="3">
        <v>2258.0300000000002</v>
      </c>
      <c r="L15" s="3">
        <v>496.65</v>
      </c>
      <c r="M15" s="3">
        <v>182.27</v>
      </c>
      <c r="N15" t="s">
        <v>84</v>
      </c>
      <c r="O15" t="s">
        <v>53</v>
      </c>
      <c r="P15" t="s">
        <v>53</v>
      </c>
      <c r="Q15" t="s">
        <v>53</v>
      </c>
      <c r="R15" t="s">
        <v>54</v>
      </c>
      <c r="S15" t="s">
        <v>54</v>
      </c>
      <c r="T15" t="s">
        <v>55</v>
      </c>
      <c r="U15">
        <v>9</v>
      </c>
      <c r="V15" t="s">
        <v>71</v>
      </c>
      <c r="W15" t="s">
        <v>90</v>
      </c>
      <c r="X15" s="4">
        <v>0</v>
      </c>
      <c r="Y15" t="s">
        <v>62</v>
      </c>
      <c r="Z15" s="3"/>
      <c r="AA15" s="3"/>
      <c r="AB15" s="3"/>
      <c r="AD15" s="3"/>
      <c r="AE15" s="3"/>
      <c r="AK15" s="5"/>
    </row>
    <row r="16" spans="1:47" hidden="1" x14ac:dyDescent="0.25">
      <c r="A16" t="s">
        <v>63</v>
      </c>
      <c r="B16" s="1">
        <v>496.65</v>
      </c>
      <c r="C16">
        <v>0</v>
      </c>
      <c r="D16">
        <v>0</v>
      </c>
      <c r="E16" s="2">
        <v>0</v>
      </c>
      <c r="F16">
        <v>0</v>
      </c>
      <c r="G16">
        <v>550</v>
      </c>
      <c r="H16" s="3" t="s">
        <v>54</v>
      </c>
      <c r="I16" s="3" t="s">
        <v>91</v>
      </c>
      <c r="K16" s="3" t="s">
        <v>92</v>
      </c>
      <c r="L16" s="3" t="s">
        <v>92</v>
      </c>
      <c r="M16" s="3">
        <v>46029.364594907405</v>
      </c>
      <c r="Q16" t="s">
        <v>54</v>
      </c>
      <c r="R16">
        <v>0</v>
      </c>
      <c r="T16" t="s">
        <v>54</v>
      </c>
      <c r="U16" t="s">
        <v>54</v>
      </c>
      <c r="V16">
        <v>2291</v>
      </c>
      <c r="W16" t="s">
        <v>55</v>
      </c>
      <c r="X16" s="4"/>
      <c r="Z16" s="3"/>
      <c r="AD16" s="3"/>
      <c r="AE16" s="3"/>
      <c r="AK16" s="5"/>
    </row>
    <row r="17" spans="1:47" hidden="1" x14ac:dyDescent="0.25">
      <c r="A17" t="s">
        <v>47</v>
      </c>
      <c r="B17" s="1">
        <v>38404</v>
      </c>
      <c r="C17" t="s">
        <v>48</v>
      </c>
      <c r="D17" t="s">
        <v>49</v>
      </c>
      <c r="E17" s="2">
        <v>46029</v>
      </c>
      <c r="F17" t="s">
        <v>93</v>
      </c>
      <c r="G17" s="3" t="s">
        <v>94</v>
      </c>
      <c r="H17" s="3">
        <v>2031.3</v>
      </c>
      <c r="I17" s="3">
        <v>2031.3</v>
      </c>
      <c r="J17">
        <v>0</v>
      </c>
      <c r="K17" s="3">
        <v>2335.9899999999998</v>
      </c>
      <c r="L17" s="3">
        <v>86.12</v>
      </c>
      <c r="M17" s="3">
        <v>57.47</v>
      </c>
      <c r="N17" t="s">
        <v>84</v>
      </c>
      <c r="O17" t="s">
        <v>53</v>
      </c>
      <c r="P17" t="s">
        <v>53</v>
      </c>
      <c r="Q17" t="s">
        <v>53</v>
      </c>
      <c r="R17" t="s">
        <v>54</v>
      </c>
      <c r="S17" t="s">
        <v>54</v>
      </c>
      <c r="T17" t="s">
        <v>55</v>
      </c>
      <c r="U17">
        <v>9</v>
      </c>
      <c r="V17" t="s">
        <v>71</v>
      </c>
      <c r="W17" t="s">
        <v>95</v>
      </c>
      <c r="X17" s="4">
        <v>0</v>
      </c>
      <c r="Y17" t="s">
        <v>62</v>
      </c>
      <c r="AD17" s="3"/>
      <c r="AE17" s="3"/>
      <c r="AK17" s="5"/>
    </row>
    <row r="18" spans="1:47" hidden="1" x14ac:dyDescent="0.25">
      <c r="A18" t="s">
        <v>63</v>
      </c>
      <c r="B18" s="1">
        <v>0</v>
      </c>
      <c r="C18">
        <v>0</v>
      </c>
      <c r="D18">
        <v>86.12</v>
      </c>
      <c r="E18" s="2">
        <v>0</v>
      </c>
      <c r="F18">
        <v>0</v>
      </c>
      <c r="G18">
        <v>90</v>
      </c>
      <c r="H18" s="3" t="s">
        <v>54</v>
      </c>
      <c r="I18" s="3" t="s">
        <v>59</v>
      </c>
      <c r="K18" s="3" t="s">
        <v>73</v>
      </c>
      <c r="L18" s="3" t="s">
        <v>73</v>
      </c>
      <c r="M18" s="3">
        <v>46029.448912037034</v>
      </c>
      <c r="Q18" t="s">
        <v>54</v>
      </c>
      <c r="R18">
        <v>0</v>
      </c>
      <c r="T18" t="s">
        <v>54</v>
      </c>
      <c r="U18" t="s">
        <v>54</v>
      </c>
      <c r="V18">
        <v>924</v>
      </c>
      <c r="W18" t="s">
        <v>55</v>
      </c>
      <c r="X18" s="4"/>
      <c r="AD18" s="3"/>
      <c r="AE18" s="3"/>
      <c r="AK18" s="5"/>
    </row>
    <row r="19" spans="1:47" hidden="1" x14ac:dyDescent="0.25">
      <c r="A19" t="s">
        <v>96</v>
      </c>
      <c r="B19" s="3">
        <v>38405</v>
      </c>
      <c r="C19" t="s">
        <v>48</v>
      </c>
      <c r="D19" s="3" t="s">
        <v>49</v>
      </c>
      <c r="E19" s="2">
        <v>46029</v>
      </c>
      <c r="F19" t="s">
        <v>97</v>
      </c>
      <c r="G19" s="3" t="s">
        <v>94</v>
      </c>
      <c r="H19" s="3">
        <v>11976</v>
      </c>
      <c r="I19" s="3">
        <v>11976</v>
      </c>
      <c r="J19">
        <v>0</v>
      </c>
      <c r="K19" s="3">
        <v>11976</v>
      </c>
      <c r="L19" s="3">
        <v>2923.2</v>
      </c>
      <c r="M19" s="3">
        <v>1072.81</v>
      </c>
      <c r="N19" t="s">
        <v>98</v>
      </c>
      <c r="O19" t="s">
        <v>53</v>
      </c>
      <c r="P19" t="s">
        <v>53</v>
      </c>
      <c r="Q19" t="s">
        <v>53</v>
      </c>
      <c r="R19" t="s">
        <v>54</v>
      </c>
      <c r="S19" t="s">
        <v>54</v>
      </c>
      <c r="T19" t="s">
        <v>55</v>
      </c>
      <c r="U19">
        <v>167</v>
      </c>
      <c r="V19" t="s">
        <v>99</v>
      </c>
      <c r="W19" t="s">
        <v>100</v>
      </c>
      <c r="X19" s="4">
        <v>0</v>
      </c>
      <c r="Y19" t="s">
        <v>58</v>
      </c>
      <c r="Z19" s="3">
        <v>2923.2</v>
      </c>
      <c r="AA19">
        <v>0</v>
      </c>
      <c r="AB19">
        <v>0</v>
      </c>
      <c r="AC19">
        <v>0</v>
      </c>
      <c r="AD19">
        <v>0</v>
      </c>
      <c r="AE19" s="3">
        <v>2400</v>
      </c>
      <c r="AF19" t="s">
        <v>54</v>
      </c>
      <c r="AG19" t="s">
        <v>59</v>
      </c>
      <c r="AI19" t="s">
        <v>73</v>
      </c>
      <c r="AJ19" t="s">
        <v>73</v>
      </c>
      <c r="AK19" s="5">
        <v>46029.466469907406</v>
      </c>
      <c r="AO19" t="s">
        <v>54</v>
      </c>
      <c r="AP19">
        <v>0</v>
      </c>
      <c r="AR19" t="s">
        <v>54</v>
      </c>
      <c r="AS19" t="s">
        <v>54</v>
      </c>
      <c r="AT19">
        <v>2778</v>
      </c>
      <c r="AU19" t="s">
        <v>55</v>
      </c>
    </row>
    <row r="20" spans="1:47" hidden="1" x14ac:dyDescent="0.25">
      <c r="A20" t="s">
        <v>47</v>
      </c>
      <c r="B20" s="1">
        <v>38406</v>
      </c>
      <c r="C20" t="s">
        <v>48</v>
      </c>
      <c r="D20" t="s">
        <v>49</v>
      </c>
      <c r="E20" s="2">
        <v>46029</v>
      </c>
      <c r="F20" t="s">
        <v>101</v>
      </c>
      <c r="G20" s="3" t="s">
        <v>94</v>
      </c>
      <c r="H20" s="3">
        <v>6440</v>
      </c>
      <c r="I20" s="3">
        <v>6440</v>
      </c>
      <c r="J20">
        <v>0</v>
      </c>
      <c r="K20" s="3">
        <v>7406</v>
      </c>
      <c r="L20" s="3">
        <v>1150</v>
      </c>
      <c r="M20" s="3">
        <v>426.06</v>
      </c>
      <c r="N20" t="s">
        <v>84</v>
      </c>
      <c r="O20" t="s">
        <v>53</v>
      </c>
      <c r="P20" t="s">
        <v>53</v>
      </c>
      <c r="Q20" t="s">
        <v>53</v>
      </c>
      <c r="R20" t="s">
        <v>54</v>
      </c>
      <c r="S20" t="s">
        <v>54</v>
      </c>
      <c r="T20" t="s">
        <v>55</v>
      </c>
      <c r="U20">
        <v>9</v>
      </c>
      <c r="V20" t="s">
        <v>71</v>
      </c>
      <c r="W20" t="s">
        <v>102</v>
      </c>
      <c r="X20" s="4">
        <v>0</v>
      </c>
      <c r="Y20" t="s">
        <v>58</v>
      </c>
      <c r="Z20" s="3">
        <v>1150</v>
      </c>
      <c r="AA20">
        <v>0</v>
      </c>
      <c r="AB20">
        <v>0</v>
      </c>
      <c r="AC20">
        <v>0</v>
      </c>
      <c r="AD20">
        <v>0</v>
      </c>
      <c r="AE20" s="3">
        <v>2000</v>
      </c>
      <c r="AF20" t="s">
        <v>54</v>
      </c>
      <c r="AG20" t="s">
        <v>59</v>
      </c>
      <c r="AH20" t="s">
        <v>103</v>
      </c>
      <c r="AI20" t="s">
        <v>92</v>
      </c>
      <c r="AJ20" t="s">
        <v>92</v>
      </c>
      <c r="AK20" s="5">
        <v>46029.47457175926</v>
      </c>
      <c r="AO20" t="s">
        <v>54</v>
      </c>
      <c r="AP20">
        <v>0</v>
      </c>
      <c r="AR20" t="s">
        <v>54</v>
      </c>
      <c r="AS20" t="s">
        <v>54</v>
      </c>
      <c r="AT20">
        <v>161</v>
      </c>
      <c r="AU20" t="s">
        <v>55</v>
      </c>
    </row>
    <row r="21" spans="1:47" hidden="1" x14ac:dyDescent="0.25">
      <c r="A21" t="s">
        <v>47</v>
      </c>
      <c r="B21" s="1">
        <v>38407</v>
      </c>
      <c r="C21" t="s">
        <v>48</v>
      </c>
      <c r="D21" t="s">
        <v>49</v>
      </c>
      <c r="E21" s="2">
        <v>46029</v>
      </c>
      <c r="F21" t="s">
        <v>50</v>
      </c>
      <c r="G21" s="3" t="s">
        <v>51</v>
      </c>
      <c r="H21" s="3">
        <v>4183.2</v>
      </c>
      <c r="I21" s="3">
        <v>4183.2</v>
      </c>
      <c r="J21">
        <v>0</v>
      </c>
      <c r="K21" s="3">
        <v>4810.68</v>
      </c>
      <c r="L21">
        <v>596.64</v>
      </c>
      <c r="M21" s="3">
        <v>232.69</v>
      </c>
      <c r="N21" t="s">
        <v>52</v>
      </c>
      <c r="O21" t="s">
        <v>53</v>
      </c>
      <c r="P21" t="s">
        <v>53</v>
      </c>
      <c r="Q21" t="s">
        <v>53</v>
      </c>
      <c r="R21" t="s">
        <v>54</v>
      </c>
      <c r="S21" t="s">
        <v>54</v>
      </c>
      <c r="T21" t="s">
        <v>55</v>
      </c>
      <c r="U21">
        <v>126</v>
      </c>
      <c r="V21" t="s">
        <v>56</v>
      </c>
      <c r="W21" t="s">
        <v>57</v>
      </c>
      <c r="X21" s="4">
        <v>0</v>
      </c>
      <c r="Y21" t="s">
        <v>58</v>
      </c>
      <c r="Z21">
        <v>596.64</v>
      </c>
      <c r="AA21">
        <v>0</v>
      </c>
      <c r="AB21">
        <v>0</v>
      </c>
      <c r="AC21">
        <v>0</v>
      </c>
      <c r="AD21">
        <v>0</v>
      </c>
      <c r="AE21" s="3">
        <v>240</v>
      </c>
      <c r="AF21" t="s">
        <v>54</v>
      </c>
      <c r="AG21" t="s">
        <v>59</v>
      </c>
      <c r="AI21" t="s">
        <v>60</v>
      </c>
      <c r="AJ21" t="s">
        <v>60</v>
      </c>
      <c r="AK21" s="5">
        <v>46029.629131944443</v>
      </c>
      <c r="AO21" t="s">
        <v>54</v>
      </c>
      <c r="AP21">
        <v>0</v>
      </c>
      <c r="AR21" t="s">
        <v>54</v>
      </c>
      <c r="AS21" t="s">
        <v>54</v>
      </c>
      <c r="AT21">
        <v>6611</v>
      </c>
      <c r="AU21" t="s">
        <v>55</v>
      </c>
    </row>
    <row r="22" spans="1:47" hidden="1" x14ac:dyDescent="0.25">
      <c r="A22" t="s">
        <v>81</v>
      </c>
      <c r="B22" s="1">
        <v>38408</v>
      </c>
      <c r="C22" t="s">
        <v>48</v>
      </c>
      <c r="D22" t="s">
        <v>49</v>
      </c>
      <c r="E22" s="2">
        <v>46030</v>
      </c>
      <c r="F22" t="s">
        <v>104</v>
      </c>
      <c r="G22" t="s">
        <v>89</v>
      </c>
      <c r="H22" s="3">
        <v>4680</v>
      </c>
      <c r="I22" s="3">
        <v>4680</v>
      </c>
      <c r="J22">
        <v>0</v>
      </c>
      <c r="K22" s="3">
        <v>4680</v>
      </c>
      <c r="L22" s="3">
        <v>674</v>
      </c>
      <c r="M22" s="3">
        <v>257.26</v>
      </c>
      <c r="N22" t="s">
        <v>52</v>
      </c>
      <c r="O22" t="s">
        <v>53</v>
      </c>
      <c r="P22" t="s">
        <v>53</v>
      </c>
      <c r="Q22" t="s">
        <v>53</v>
      </c>
      <c r="R22" t="s">
        <v>54</v>
      </c>
      <c r="S22" t="s">
        <v>54</v>
      </c>
      <c r="T22" t="s">
        <v>55</v>
      </c>
      <c r="U22">
        <v>126</v>
      </c>
      <c r="V22" t="s">
        <v>56</v>
      </c>
      <c r="W22" t="s">
        <v>72</v>
      </c>
      <c r="X22" s="4">
        <v>0</v>
      </c>
      <c r="Y22" t="s">
        <v>58</v>
      </c>
      <c r="Z22" s="3">
        <v>674</v>
      </c>
      <c r="AA22">
        <v>0</v>
      </c>
      <c r="AB22">
        <v>0</v>
      </c>
      <c r="AC22">
        <v>0</v>
      </c>
      <c r="AD22">
        <v>0</v>
      </c>
      <c r="AE22" s="3">
        <v>1200</v>
      </c>
      <c r="AF22" t="s">
        <v>54</v>
      </c>
      <c r="AG22" t="s">
        <v>59</v>
      </c>
      <c r="AI22" t="s">
        <v>73</v>
      </c>
      <c r="AJ22" t="s">
        <v>73</v>
      </c>
      <c r="AK22" s="5">
        <v>46030.464837962965</v>
      </c>
      <c r="AO22" t="s">
        <v>54</v>
      </c>
      <c r="AP22">
        <v>0</v>
      </c>
      <c r="AR22" t="s">
        <v>54</v>
      </c>
      <c r="AS22" t="s">
        <v>54</v>
      </c>
      <c r="AT22">
        <v>7057</v>
      </c>
      <c r="AU22" t="s">
        <v>55</v>
      </c>
    </row>
    <row r="23" spans="1:47" hidden="1" x14ac:dyDescent="0.25">
      <c r="A23" t="s">
        <v>81</v>
      </c>
      <c r="B23" s="1">
        <v>38409</v>
      </c>
      <c r="C23" t="s">
        <v>48</v>
      </c>
      <c r="D23" s="3" t="s">
        <v>49</v>
      </c>
      <c r="E23" s="2">
        <v>46030</v>
      </c>
      <c r="F23" s="3" t="s">
        <v>105</v>
      </c>
      <c r="G23" s="3" t="s">
        <v>94</v>
      </c>
      <c r="H23" s="3">
        <v>6444</v>
      </c>
      <c r="I23" s="3">
        <v>6444</v>
      </c>
      <c r="J23">
        <v>0</v>
      </c>
      <c r="K23" s="3">
        <v>6444</v>
      </c>
      <c r="L23" s="3">
        <v>550.79999999999995</v>
      </c>
      <c r="M23" s="3">
        <v>341.5</v>
      </c>
      <c r="N23" t="s">
        <v>106</v>
      </c>
      <c r="O23" t="s">
        <v>53</v>
      </c>
      <c r="P23" t="s">
        <v>53</v>
      </c>
      <c r="Q23" t="s">
        <v>53</v>
      </c>
      <c r="R23" t="s">
        <v>54</v>
      </c>
      <c r="S23" t="s">
        <v>54</v>
      </c>
      <c r="T23" t="s">
        <v>55</v>
      </c>
      <c r="U23">
        <v>145</v>
      </c>
      <c r="W23" t="s">
        <v>107</v>
      </c>
      <c r="X23" s="4">
        <v>0</v>
      </c>
      <c r="Y23" t="s">
        <v>62</v>
      </c>
      <c r="Z23" s="3"/>
      <c r="AE23" s="3"/>
      <c r="AK23" s="5"/>
    </row>
    <row r="24" spans="1:47" hidden="1" x14ac:dyDescent="0.25">
      <c r="A24" t="s">
        <v>63</v>
      </c>
      <c r="B24" s="1">
        <v>0</v>
      </c>
      <c r="C24">
        <v>0</v>
      </c>
      <c r="D24">
        <v>550.79999999999995</v>
      </c>
      <c r="E24" s="2">
        <v>0</v>
      </c>
      <c r="F24">
        <v>0</v>
      </c>
      <c r="G24">
        <v>400</v>
      </c>
      <c r="H24" s="3" t="s">
        <v>54</v>
      </c>
      <c r="I24" s="3" t="s">
        <v>59</v>
      </c>
      <c r="K24" s="3" t="s">
        <v>73</v>
      </c>
      <c r="L24" t="s">
        <v>73</v>
      </c>
      <c r="M24" s="3">
        <v>46031.342152777775</v>
      </c>
      <c r="Q24" t="s">
        <v>54</v>
      </c>
      <c r="R24">
        <v>0</v>
      </c>
      <c r="T24" t="s">
        <v>54</v>
      </c>
      <c r="U24" t="s">
        <v>54</v>
      </c>
      <c r="V24">
        <v>8632</v>
      </c>
      <c r="W24" t="s">
        <v>55</v>
      </c>
      <c r="X24" s="4"/>
    </row>
    <row r="25" spans="1:47" hidden="1" x14ac:dyDescent="0.25">
      <c r="A25" t="s">
        <v>47</v>
      </c>
      <c r="B25" s="1">
        <v>38410</v>
      </c>
      <c r="C25" t="s">
        <v>48</v>
      </c>
      <c r="D25" t="s">
        <v>49</v>
      </c>
      <c r="E25" s="2">
        <v>46030</v>
      </c>
      <c r="F25" t="s">
        <v>108</v>
      </c>
      <c r="G25" s="3" t="s">
        <v>109</v>
      </c>
      <c r="H25" s="3">
        <v>60090</v>
      </c>
      <c r="I25" s="3">
        <v>60090</v>
      </c>
      <c r="J25">
        <v>0</v>
      </c>
      <c r="K25" s="3">
        <v>60090</v>
      </c>
      <c r="L25" s="3">
        <v>7701</v>
      </c>
      <c r="M25" s="3">
        <v>4774.62</v>
      </c>
      <c r="N25" t="s">
        <v>84</v>
      </c>
      <c r="O25" t="s">
        <v>53</v>
      </c>
      <c r="P25" t="s">
        <v>53</v>
      </c>
      <c r="Q25" t="s">
        <v>53</v>
      </c>
      <c r="R25" t="s">
        <v>54</v>
      </c>
      <c r="S25" t="s">
        <v>54</v>
      </c>
      <c r="T25" t="s">
        <v>55</v>
      </c>
      <c r="U25">
        <v>9</v>
      </c>
      <c r="V25" t="s">
        <v>56</v>
      </c>
      <c r="W25" t="s">
        <v>110</v>
      </c>
      <c r="X25" s="4">
        <v>0</v>
      </c>
      <c r="Y25" t="s">
        <v>58</v>
      </c>
      <c r="Z25">
        <v>0</v>
      </c>
      <c r="AA25">
        <v>0</v>
      </c>
      <c r="AB25" s="3">
        <v>7701</v>
      </c>
      <c r="AC25">
        <v>0</v>
      </c>
      <c r="AD25">
        <v>0</v>
      </c>
      <c r="AE25" s="3">
        <v>9000</v>
      </c>
      <c r="AF25" t="s">
        <v>54</v>
      </c>
      <c r="AG25" t="s">
        <v>59</v>
      </c>
      <c r="AI25" t="s">
        <v>92</v>
      </c>
      <c r="AJ25" t="s">
        <v>92</v>
      </c>
      <c r="AK25" s="5">
        <v>46030.667002314818</v>
      </c>
      <c r="AO25" t="s">
        <v>54</v>
      </c>
      <c r="AP25">
        <v>0</v>
      </c>
      <c r="AR25" t="s">
        <v>54</v>
      </c>
      <c r="AS25" t="s">
        <v>54</v>
      </c>
      <c r="AT25">
        <v>3124</v>
      </c>
      <c r="AU25" t="s">
        <v>55</v>
      </c>
    </row>
    <row r="26" spans="1:47" hidden="1" x14ac:dyDescent="0.25">
      <c r="A26" t="s">
        <v>47</v>
      </c>
      <c r="B26" s="1">
        <v>38411</v>
      </c>
      <c r="C26" t="s">
        <v>48</v>
      </c>
      <c r="D26" t="s">
        <v>49</v>
      </c>
      <c r="E26" s="2">
        <v>46030</v>
      </c>
      <c r="F26" t="s">
        <v>111</v>
      </c>
      <c r="G26" t="s">
        <v>69</v>
      </c>
      <c r="H26" s="3">
        <v>15300</v>
      </c>
      <c r="I26" s="3">
        <v>15300</v>
      </c>
      <c r="J26">
        <v>0</v>
      </c>
      <c r="K26" s="3">
        <v>17595</v>
      </c>
      <c r="L26" s="3">
        <v>3492</v>
      </c>
      <c r="M26" s="3">
        <v>1361.88</v>
      </c>
      <c r="N26" t="s">
        <v>52</v>
      </c>
      <c r="O26" t="s">
        <v>53</v>
      </c>
      <c r="P26" t="s">
        <v>53</v>
      </c>
      <c r="Q26" t="s">
        <v>53</v>
      </c>
      <c r="R26" t="s">
        <v>54</v>
      </c>
      <c r="S26" t="s">
        <v>54</v>
      </c>
      <c r="T26" t="s">
        <v>55</v>
      </c>
      <c r="U26">
        <v>126</v>
      </c>
      <c r="V26" t="s">
        <v>56</v>
      </c>
      <c r="W26" t="s">
        <v>95</v>
      </c>
      <c r="X26" s="4">
        <v>0</v>
      </c>
      <c r="Y26" t="s">
        <v>58</v>
      </c>
      <c r="Z26" s="3">
        <v>3492</v>
      </c>
      <c r="AA26">
        <v>0</v>
      </c>
      <c r="AB26" s="3">
        <v>0</v>
      </c>
      <c r="AC26">
        <v>0</v>
      </c>
      <c r="AD26">
        <v>0</v>
      </c>
      <c r="AE26" s="3">
        <v>3000</v>
      </c>
      <c r="AF26" t="s">
        <v>54</v>
      </c>
      <c r="AG26" t="s">
        <v>59</v>
      </c>
      <c r="AI26" t="s">
        <v>60</v>
      </c>
      <c r="AJ26" t="s">
        <v>60</v>
      </c>
      <c r="AK26" s="5">
        <v>46030.933159722219</v>
      </c>
      <c r="AO26" t="s">
        <v>54</v>
      </c>
      <c r="AP26">
        <v>0</v>
      </c>
      <c r="AR26" t="s">
        <v>54</v>
      </c>
      <c r="AS26" t="s">
        <v>54</v>
      </c>
      <c r="AT26">
        <v>1877</v>
      </c>
      <c r="AU26" t="s">
        <v>55</v>
      </c>
    </row>
    <row r="27" spans="1:47" hidden="1" x14ac:dyDescent="0.25">
      <c r="A27" t="s">
        <v>47</v>
      </c>
      <c r="B27" s="1">
        <v>38412</v>
      </c>
      <c r="C27" t="s">
        <v>48</v>
      </c>
      <c r="D27" s="3" t="s">
        <v>49</v>
      </c>
      <c r="E27" s="2">
        <v>46030</v>
      </c>
      <c r="F27" t="s">
        <v>112</v>
      </c>
      <c r="G27" s="3" t="s">
        <v>113</v>
      </c>
      <c r="H27">
        <v>870</v>
      </c>
      <c r="I27">
        <v>870</v>
      </c>
      <c r="J27">
        <v>0</v>
      </c>
      <c r="K27">
        <v>870</v>
      </c>
      <c r="L27">
        <v>143.4</v>
      </c>
      <c r="M27" s="3">
        <v>55.93</v>
      </c>
      <c r="N27" t="s">
        <v>52</v>
      </c>
      <c r="O27" t="s">
        <v>53</v>
      </c>
      <c r="P27" t="s">
        <v>53</v>
      </c>
      <c r="Q27" t="s">
        <v>53</v>
      </c>
      <c r="R27" t="s">
        <v>54</v>
      </c>
      <c r="S27" t="s">
        <v>54</v>
      </c>
      <c r="T27" t="s">
        <v>55</v>
      </c>
      <c r="U27">
        <v>126</v>
      </c>
      <c r="V27" t="s">
        <v>56</v>
      </c>
      <c r="W27" t="s">
        <v>114</v>
      </c>
      <c r="X27" s="4">
        <v>0</v>
      </c>
      <c r="Y27" t="s">
        <v>58</v>
      </c>
      <c r="Z27">
        <v>143.4</v>
      </c>
      <c r="AA27">
        <v>0</v>
      </c>
      <c r="AB27">
        <v>0</v>
      </c>
      <c r="AC27">
        <v>0</v>
      </c>
      <c r="AD27">
        <v>0</v>
      </c>
      <c r="AE27">
        <v>600</v>
      </c>
      <c r="AF27" t="s">
        <v>54</v>
      </c>
      <c r="AG27" t="s">
        <v>59</v>
      </c>
      <c r="AH27" t="s">
        <v>115</v>
      </c>
      <c r="AI27" t="s">
        <v>60</v>
      </c>
      <c r="AJ27" t="s">
        <v>60</v>
      </c>
      <c r="AK27" s="5">
        <v>46030.999918981484</v>
      </c>
      <c r="AO27" t="s">
        <v>54</v>
      </c>
      <c r="AP27">
        <v>0</v>
      </c>
      <c r="AR27" t="s">
        <v>54</v>
      </c>
      <c r="AS27" t="s">
        <v>54</v>
      </c>
      <c r="AT27">
        <v>4089</v>
      </c>
      <c r="AU27" t="s">
        <v>55</v>
      </c>
    </row>
    <row r="28" spans="1:47" hidden="1" x14ac:dyDescent="0.25">
      <c r="A28" t="s">
        <v>47</v>
      </c>
      <c r="B28" s="1">
        <v>38413</v>
      </c>
      <c r="C28" t="s">
        <v>48</v>
      </c>
      <c r="D28" t="s">
        <v>49</v>
      </c>
      <c r="E28" s="2">
        <v>46031</v>
      </c>
      <c r="F28" t="s">
        <v>93</v>
      </c>
      <c r="G28" t="s">
        <v>94</v>
      </c>
      <c r="H28" s="3">
        <v>2031.3</v>
      </c>
      <c r="I28" s="3">
        <v>2031.3</v>
      </c>
      <c r="J28">
        <v>0</v>
      </c>
      <c r="K28" s="3">
        <v>2335.9899999999998</v>
      </c>
      <c r="L28" s="3">
        <v>86.12</v>
      </c>
      <c r="M28" s="3">
        <v>57.47</v>
      </c>
      <c r="N28" t="s">
        <v>84</v>
      </c>
      <c r="O28" t="s">
        <v>53</v>
      </c>
      <c r="P28" t="s">
        <v>53</v>
      </c>
      <c r="Q28" t="s">
        <v>53</v>
      </c>
      <c r="R28" t="s">
        <v>54</v>
      </c>
      <c r="S28" t="s">
        <v>54</v>
      </c>
      <c r="T28" t="s">
        <v>55</v>
      </c>
      <c r="U28">
        <v>9</v>
      </c>
      <c r="V28" t="s">
        <v>71</v>
      </c>
      <c r="W28" t="s">
        <v>95</v>
      </c>
      <c r="X28" s="4">
        <v>0</v>
      </c>
      <c r="Y28" t="s">
        <v>62</v>
      </c>
      <c r="Z28" s="3"/>
      <c r="AK28" s="5"/>
    </row>
    <row r="29" spans="1:47" hidden="1" x14ac:dyDescent="0.25">
      <c r="A29" t="s">
        <v>63</v>
      </c>
      <c r="B29" s="1">
        <v>0</v>
      </c>
      <c r="C29">
        <v>0</v>
      </c>
      <c r="D29" s="3">
        <v>86.12</v>
      </c>
      <c r="E29" s="2">
        <v>0</v>
      </c>
      <c r="F29">
        <v>0</v>
      </c>
      <c r="G29" s="3">
        <v>90</v>
      </c>
      <c r="H29" s="3" t="s">
        <v>54</v>
      </c>
      <c r="I29" s="3" t="s">
        <v>59</v>
      </c>
      <c r="K29" s="3" t="s">
        <v>73</v>
      </c>
      <c r="L29" t="s">
        <v>73</v>
      </c>
      <c r="M29" s="3">
        <v>46034.353900462964</v>
      </c>
      <c r="Q29" t="s">
        <v>54</v>
      </c>
      <c r="R29">
        <v>0</v>
      </c>
      <c r="T29" t="s">
        <v>54</v>
      </c>
      <c r="U29" t="s">
        <v>54</v>
      </c>
      <c r="V29">
        <v>924</v>
      </c>
      <c r="W29" t="s">
        <v>55</v>
      </c>
      <c r="X29" s="4"/>
    </row>
    <row r="30" spans="1:47" hidden="1" x14ac:dyDescent="0.25">
      <c r="A30" t="s">
        <v>81</v>
      </c>
      <c r="B30" s="1">
        <v>38414</v>
      </c>
      <c r="C30" t="s">
        <v>48</v>
      </c>
      <c r="D30" t="s">
        <v>49</v>
      </c>
      <c r="E30" s="2">
        <v>46031</v>
      </c>
      <c r="F30" t="s">
        <v>116</v>
      </c>
      <c r="G30" t="s">
        <v>66</v>
      </c>
      <c r="H30" s="3">
        <v>13230</v>
      </c>
      <c r="I30" s="3">
        <v>13230</v>
      </c>
      <c r="J30">
        <v>0</v>
      </c>
      <c r="K30" s="3">
        <v>13230</v>
      </c>
      <c r="L30" s="3">
        <v>3669</v>
      </c>
      <c r="M30" s="3">
        <v>1346.52</v>
      </c>
      <c r="N30" t="s">
        <v>84</v>
      </c>
      <c r="O30" t="s">
        <v>53</v>
      </c>
      <c r="P30" t="s">
        <v>53</v>
      </c>
      <c r="Q30" t="s">
        <v>53</v>
      </c>
      <c r="R30" t="s">
        <v>54</v>
      </c>
      <c r="S30" t="s">
        <v>54</v>
      </c>
      <c r="T30" t="s">
        <v>55</v>
      </c>
      <c r="U30">
        <v>9</v>
      </c>
      <c r="W30" t="s">
        <v>117</v>
      </c>
      <c r="X30" s="4">
        <v>0</v>
      </c>
      <c r="Y30" t="s">
        <v>62</v>
      </c>
      <c r="AB30" s="3"/>
      <c r="AE30" s="3"/>
      <c r="AK30" s="5"/>
    </row>
    <row r="31" spans="1:47" hidden="1" x14ac:dyDescent="0.25">
      <c r="A31" t="s">
        <v>63</v>
      </c>
      <c r="B31" s="1">
        <v>3669</v>
      </c>
      <c r="C31">
        <v>0</v>
      </c>
      <c r="D31" s="3">
        <v>0</v>
      </c>
      <c r="E31" s="2">
        <v>0</v>
      </c>
      <c r="F31">
        <v>0</v>
      </c>
      <c r="G31" s="3">
        <v>3000</v>
      </c>
      <c r="H31" s="3" t="s">
        <v>54</v>
      </c>
      <c r="I31" s="3" t="s">
        <v>59</v>
      </c>
      <c r="K31" s="3" t="s">
        <v>73</v>
      </c>
      <c r="L31" t="s">
        <v>73</v>
      </c>
      <c r="M31" s="3">
        <v>46031.577048611114</v>
      </c>
      <c r="Q31" t="s">
        <v>54</v>
      </c>
      <c r="R31">
        <v>0</v>
      </c>
      <c r="T31" t="s">
        <v>54</v>
      </c>
      <c r="U31" t="s">
        <v>54</v>
      </c>
      <c r="V31">
        <v>8826</v>
      </c>
      <c r="W31" t="s">
        <v>55</v>
      </c>
      <c r="X31" s="4"/>
    </row>
    <row r="32" spans="1:47" hidden="1" x14ac:dyDescent="0.25">
      <c r="A32" t="s">
        <v>47</v>
      </c>
      <c r="B32" s="1">
        <v>38415</v>
      </c>
      <c r="C32" t="s">
        <v>48</v>
      </c>
      <c r="D32" t="s">
        <v>49</v>
      </c>
      <c r="E32" s="2">
        <v>46031</v>
      </c>
      <c r="F32" t="s">
        <v>118</v>
      </c>
      <c r="G32" s="3" t="s">
        <v>119</v>
      </c>
      <c r="H32" s="3">
        <v>1680</v>
      </c>
      <c r="I32" s="3">
        <v>1680</v>
      </c>
      <c r="J32">
        <v>0</v>
      </c>
      <c r="K32" s="3">
        <v>1932</v>
      </c>
      <c r="L32" s="3">
        <v>261.13</v>
      </c>
      <c r="M32" s="3">
        <v>150.15</v>
      </c>
      <c r="N32" t="s">
        <v>77</v>
      </c>
      <c r="O32" t="s">
        <v>53</v>
      </c>
      <c r="P32" t="s">
        <v>53</v>
      </c>
      <c r="Q32" t="s">
        <v>53</v>
      </c>
      <c r="R32" t="s">
        <v>54</v>
      </c>
      <c r="S32" t="s">
        <v>54</v>
      </c>
      <c r="T32" t="s">
        <v>55</v>
      </c>
      <c r="U32">
        <v>83</v>
      </c>
      <c r="W32" t="s">
        <v>85</v>
      </c>
      <c r="X32" s="4">
        <v>0</v>
      </c>
      <c r="Y32" t="s">
        <v>58</v>
      </c>
      <c r="Z32" s="3">
        <v>0</v>
      </c>
      <c r="AA32">
        <v>0</v>
      </c>
      <c r="AB32">
        <v>261.13</v>
      </c>
      <c r="AC32">
        <v>0</v>
      </c>
      <c r="AD32">
        <v>0</v>
      </c>
      <c r="AE32" s="3">
        <v>125</v>
      </c>
      <c r="AF32" t="s">
        <v>54</v>
      </c>
      <c r="AG32" t="s">
        <v>59</v>
      </c>
      <c r="AI32" t="s">
        <v>80</v>
      </c>
      <c r="AJ32" t="s">
        <v>73</v>
      </c>
      <c r="AK32" s="5">
        <v>46031.623749999999</v>
      </c>
      <c r="AO32" t="s">
        <v>54</v>
      </c>
      <c r="AP32">
        <v>0</v>
      </c>
      <c r="AR32" t="s">
        <v>54</v>
      </c>
      <c r="AS32" t="s">
        <v>54</v>
      </c>
      <c r="AT32">
        <v>4900</v>
      </c>
      <c r="AU32" t="s">
        <v>55</v>
      </c>
    </row>
    <row r="33" spans="1:47" hidden="1" x14ac:dyDescent="0.25">
      <c r="A33" t="s">
        <v>47</v>
      </c>
      <c r="B33" s="1">
        <v>38416</v>
      </c>
      <c r="C33" t="s">
        <v>48</v>
      </c>
      <c r="D33" t="s">
        <v>49</v>
      </c>
      <c r="E33" s="2">
        <v>46031</v>
      </c>
      <c r="F33" t="s">
        <v>118</v>
      </c>
      <c r="G33" t="s">
        <v>119</v>
      </c>
      <c r="H33" s="3">
        <v>1680</v>
      </c>
      <c r="I33" s="3">
        <v>1680</v>
      </c>
      <c r="J33">
        <v>0</v>
      </c>
      <c r="K33" s="3">
        <v>1932</v>
      </c>
      <c r="L33" s="3">
        <v>261.13</v>
      </c>
      <c r="M33" s="3">
        <v>150.15</v>
      </c>
      <c r="N33" t="s">
        <v>77</v>
      </c>
      <c r="O33" t="s">
        <v>53</v>
      </c>
      <c r="P33" t="s">
        <v>53</v>
      </c>
      <c r="Q33" t="s">
        <v>53</v>
      </c>
      <c r="R33" t="s">
        <v>54</v>
      </c>
      <c r="S33" t="s">
        <v>54</v>
      </c>
      <c r="T33" t="s">
        <v>55</v>
      </c>
      <c r="U33">
        <v>83</v>
      </c>
      <c r="W33" t="s">
        <v>85</v>
      </c>
      <c r="X33" s="4">
        <v>0</v>
      </c>
      <c r="Y33" t="s">
        <v>58</v>
      </c>
      <c r="Z33" s="3">
        <v>0</v>
      </c>
      <c r="AA33">
        <v>0</v>
      </c>
      <c r="AB33">
        <v>261.13</v>
      </c>
      <c r="AC33">
        <v>0</v>
      </c>
      <c r="AD33">
        <v>0</v>
      </c>
      <c r="AE33" s="3">
        <v>125</v>
      </c>
      <c r="AF33" t="s">
        <v>54</v>
      </c>
      <c r="AG33" t="s">
        <v>59</v>
      </c>
      <c r="AI33" t="s">
        <v>80</v>
      </c>
      <c r="AJ33" t="s">
        <v>73</v>
      </c>
      <c r="AK33" s="5">
        <v>46031.623969907407</v>
      </c>
      <c r="AO33" t="s">
        <v>54</v>
      </c>
      <c r="AP33">
        <v>0</v>
      </c>
      <c r="AR33" t="s">
        <v>54</v>
      </c>
      <c r="AS33" t="s">
        <v>54</v>
      </c>
      <c r="AT33">
        <v>4900</v>
      </c>
      <c r="AU33" t="s">
        <v>55</v>
      </c>
    </row>
    <row r="34" spans="1:47" hidden="1" x14ac:dyDescent="0.25">
      <c r="A34" t="s">
        <v>96</v>
      </c>
      <c r="B34" s="1">
        <v>38417</v>
      </c>
      <c r="C34" t="s">
        <v>48</v>
      </c>
      <c r="D34" t="s">
        <v>49</v>
      </c>
      <c r="E34" s="2">
        <v>46031</v>
      </c>
      <c r="F34" t="s">
        <v>120</v>
      </c>
      <c r="G34" t="s">
        <v>69</v>
      </c>
      <c r="H34" s="3">
        <v>30005.5</v>
      </c>
      <c r="I34" s="3">
        <v>30005.5</v>
      </c>
      <c r="J34">
        <v>0</v>
      </c>
      <c r="K34" s="3">
        <v>30005.5</v>
      </c>
      <c r="L34" s="3">
        <v>5101.55</v>
      </c>
      <c r="M34" s="3">
        <v>2397.73</v>
      </c>
      <c r="N34" t="s">
        <v>77</v>
      </c>
      <c r="O34" t="s">
        <v>53</v>
      </c>
      <c r="P34" t="s">
        <v>53</v>
      </c>
      <c r="Q34" t="s">
        <v>53</v>
      </c>
      <c r="R34" t="s">
        <v>54</v>
      </c>
      <c r="S34" t="s">
        <v>54</v>
      </c>
      <c r="T34" t="s">
        <v>55</v>
      </c>
      <c r="U34">
        <v>83</v>
      </c>
      <c r="V34" t="s">
        <v>121</v>
      </c>
      <c r="W34" t="s">
        <v>122</v>
      </c>
      <c r="X34" s="4">
        <v>0</v>
      </c>
      <c r="Y34" t="s">
        <v>58</v>
      </c>
      <c r="Z34" s="3">
        <v>0</v>
      </c>
      <c r="AA34">
        <v>0</v>
      </c>
      <c r="AB34">
        <v>0</v>
      </c>
      <c r="AC34">
        <v>0</v>
      </c>
      <c r="AD34" s="3">
        <v>5101.55</v>
      </c>
      <c r="AE34" s="3">
        <v>5750</v>
      </c>
      <c r="AF34" t="s">
        <v>54</v>
      </c>
      <c r="AG34" t="s">
        <v>59</v>
      </c>
      <c r="AH34" t="s">
        <v>79</v>
      </c>
      <c r="AI34" t="s">
        <v>80</v>
      </c>
      <c r="AJ34" t="s">
        <v>73</v>
      </c>
      <c r="AK34" s="5">
        <v>46031.642685185187</v>
      </c>
      <c r="AO34" t="s">
        <v>54</v>
      </c>
      <c r="AP34">
        <v>0</v>
      </c>
      <c r="AR34" t="s">
        <v>54</v>
      </c>
      <c r="AS34" t="s">
        <v>54</v>
      </c>
      <c r="AT34">
        <v>6081</v>
      </c>
      <c r="AU34" t="s">
        <v>55</v>
      </c>
    </row>
    <row r="35" spans="1:47" hidden="1" x14ac:dyDescent="0.25">
      <c r="A35" t="s">
        <v>96</v>
      </c>
      <c r="B35" s="1">
        <v>38418</v>
      </c>
      <c r="C35" t="s">
        <v>48</v>
      </c>
      <c r="D35" t="s">
        <v>49</v>
      </c>
      <c r="E35" s="2">
        <v>46031</v>
      </c>
      <c r="F35" s="3" t="s">
        <v>120</v>
      </c>
      <c r="G35" s="3" t="s">
        <v>69</v>
      </c>
      <c r="H35" s="3">
        <v>30005.5</v>
      </c>
      <c r="I35" s="3">
        <v>30005.5</v>
      </c>
      <c r="J35">
        <v>0</v>
      </c>
      <c r="K35" s="3">
        <v>30005.5</v>
      </c>
      <c r="L35" s="3">
        <v>5101.55</v>
      </c>
      <c r="M35" s="3">
        <v>2397.73</v>
      </c>
      <c r="N35" t="s">
        <v>77</v>
      </c>
      <c r="O35" t="s">
        <v>53</v>
      </c>
      <c r="P35" t="s">
        <v>53</v>
      </c>
      <c r="Q35" t="s">
        <v>53</v>
      </c>
      <c r="R35" t="s">
        <v>54</v>
      </c>
      <c r="S35" t="s">
        <v>54</v>
      </c>
      <c r="T35" t="s">
        <v>55</v>
      </c>
      <c r="U35">
        <v>83</v>
      </c>
      <c r="V35" t="s">
        <v>121</v>
      </c>
      <c r="W35" t="s">
        <v>122</v>
      </c>
      <c r="X35" s="4">
        <v>0</v>
      </c>
      <c r="Y35" t="s">
        <v>58</v>
      </c>
      <c r="Z35" s="3">
        <v>0</v>
      </c>
      <c r="AA35">
        <v>0</v>
      </c>
      <c r="AB35">
        <v>0</v>
      </c>
      <c r="AC35">
        <v>0</v>
      </c>
      <c r="AD35" s="3">
        <v>5101.55</v>
      </c>
      <c r="AE35" s="3">
        <v>5750</v>
      </c>
      <c r="AF35" t="s">
        <v>54</v>
      </c>
      <c r="AG35" t="s">
        <v>59</v>
      </c>
      <c r="AH35" t="s">
        <v>79</v>
      </c>
      <c r="AI35" t="s">
        <v>80</v>
      </c>
      <c r="AJ35" t="s">
        <v>73</v>
      </c>
      <c r="AK35" s="5">
        <v>46031.644004629627</v>
      </c>
      <c r="AO35" t="s">
        <v>54</v>
      </c>
      <c r="AP35">
        <v>0</v>
      </c>
      <c r="AR35" t="s">
        <v>54</v>
      </c>
      <c r="AS35" t="s">
        <v>54</v>
      </c>
      <c r="AT35">
        <v>6081</v>
      </c>
      <c r="AU35" t="s">
        <v>55</v>
      </c>
    </row>
    <row r="36" spans="1:47" hidden="1" x14ac:dyDescent="0.25">
      <c r="A36" t="s">
        <v>96</v>
      </c>
      <c r="B36" s="1">
        <v>38420</v>
      </c>
      <c r="C36" t="s">
        <v>48</v>
      </c>
      <c r="D36" s="3" t="s">
        <v>49</v>
      </c>
      <c r="E36" s="2">
        <v>46031</v>
      </c>
      <c r="F36" t="s">
        <v>120</v>
      </c>
      <c r="G36" s="3" t="s">
        <v>69</v>
      </c>
      <c r="H36" s="3">
        <v>30005.5</v>
      </c>
      <c r="I36" s="3">
        <v>30005.5</v>
      </c>
      <c r="J36">
        <v>0</v>
      </c>
      <c r="K36" s="3">
        <v>30005.5</v>
      </c>
      <c r="L36" s="3">
        <v>5101.55</v>
      </c>
      <c r="M36" s="3">
        <v>2397.73</v>
      </c>
      <c r="N36" t="s">
        <v>77</v>
      </c>
      <c r="O36" t="s">
        <v>53</v>
      </c>
      <c r="P36" t="s">
        <v>53</v>
      </c>
      <c r="Q36" t="s">
        <v>53</v>
      </c>
      <c r="R36" t="s">
        <v>54</v>
      </c>
      <c r="S36" t="s">
        <v>54</v>
      </c>
      <c r="T36" t="s">
        <v>55</v>
      </c>
      <c r="U36">
        <v>83</v>
      </c>
      <c r="V36" t="s">
        <v>121</v>
      </c>
      <c r="W36" t="s">
        <v>122</v>
      </c>
      <c r="X36" s="4">
        <v>0</v>
      </c>
      <c r="Y36" t="s">
        <v>58</v>
      </c>
      <c r="Z36" s="3">
        <v>0</v>
      </c>
      <c r="AA36">
        <v>0</v>
      </c>
      <c r="AB36">
        <v>0</v>
      </c>
      <c r="AC36">
        <v>0</v>
      </c>
      <c r="AD36" s="3">
        <v>5101.55</v>
      </c>
      <c r="AE36" s="3">
        <v>5750</v>
      </c>
      <c r="AF36" t="s">
        <v>54</v>
      </c>
      <c r="AG36" t="s">
        <v>59</v>
      </c>
      <c r="AH36" t="s">
        <v>79</v>
      </c>
      <c r="AI36" t="s">
        <v>73</v>
      </c>
      <c r="AJ36" t="s">
        <v>73</v>
      </c>
      <c r="AK36" s="5">
        <v>46031.644270833334</v>
      </c>
      <c r="AO36" t="s">
        <v>54</v>
      </c>
      <c r="AP36">
        <v>0</v>
      </c>
      <c r="AR36" t="s">
        <v>54</v>
      </c>
      <c r="AS36" t="s">
        <v>54</v>
      </c>
      <c r="AT36">
        <v>6081</v>
      </c>
      <c r="AU36" t="s">
        <v>55</v>
      </c>
    </row>
    <row r="37" spans="1:47" hidden="1" x14ac:dyDescent="0.25">
      <c r="A37" t="s">
        <v>96</v>
      </c>
      <c r="B37" s="1">
        <v>38421</v>
      </c>
      <c r="C37" t="s">
        <v>48</v>
      </c>
      <c r="D37" t="s">
        <v>49</v>
      </c>
      <c r="E37" s="2">
        <v>46031</v>
      </c>
      <c r="F37" s="3" t="s">
        <v>120</v>
      </c>
      <c r="G37" s="3" t="s">
        <v>69</v>
      </c>
      <c r="H37" s="3">
        <v>30005.5</v>
      </c>
      <c r="I37" s="3">
        <v>30005.5</v>
      </c>
      <c r="J37">
        <v>0</v>
      </c>
      <c r="K37" s="3">
        <v>30005.5</v>
      </c>
      <c r="L37" s="3">
        <v>5101.55</v>
      </c>
      <c r="M37" s="3">
        <v>2397.73</v>
      </c>
      <c r="N37" t="s">
        <v>77</v>
      </c>
      <c r="O37" t="s">
        <v>53</v>
      </c>
      <c r="P37" t="s">
        <v>53</v>
      </c>
      <c r="Q37" t="s">
        <v>53</v>
      </c>
      <c r="R37" t="s">
        <v>54</v>
      </c>
      <c r="S37" t="s">
        <v>54</v>
      </c>
      <c r="T37" t="s">
        <v>55</v>
      </c>
      <c r="U37">
        <v>83</v>
      </c>
      <c r="V37" t="s">
        <v>121</v>
      </c>
      <c r="W37" t="s">
        <v>122</v>
      </c>
      <c r="X37" s="4">
        <v>0</v>
      </c>
      <c r="Y37" t="s">
        <v>58</v>
      </c>
      <c r="Z37" s="3">
        <v>0</v>
      </c>
      <c r="AA37">
        <v>0</v>
      </c>
      <c r="AB37">
        <v>0</v>
      </c>
      <c r="AC37">
        <v>0</v>
      </c>
      <c r="AD37" s="3">
        <v>5101.55</v>
      </c>
      <c r="AE37" s="3">
        <v>5750</v>
      </c>
      <c r="AF37" t="s">
        <v>54</v>
      </c>
      <c r="AG37" t="s">
        <v>59</v>
      </c>
      <c r="AH37" t="s">
        <v>79</v>
      </c>
      <c r="AI37" t="s">
        <v>73</v>
      </c>
      <c r="AJ37" t="s">
        <v>73</v>
      </c>
      <c r="AK37" s="5">
        <v>46031.644467592596</v>
      </c>
      <c r="AO37" t="s">
        <v>54</v>
      </c>
      <c r="AP37">
        <v>0</v>
      </c>
      <c r="AR37" t="s">
        <v>54</v>
      </c>
      <c r="AS37" t="s">
        <v>54</v>
      </c>
      <c r="AT37">
        <v>6081</v>
      </c>
      <c r="AU37" t="s">
        <v>55</v>
      </c>
    </row>
    <row r="38" spans="1:47" hidden="1" x14ac:dyDescent="0.25">
      <c r="A38" t="s">
        <v>96</v>
      </c>
      <c r="B38" s="1">
        <v>38422</v>
      </c>
      <c r="C38" t="s">
        <v>48</v>
      </c>
      <c r="D38" s="3" t="s">
        <v>49</v>
      </c>
      <c r="E38" s="2">
        <v>46031</v>
      </c>
      <c r="F38" t="s">
        <v>120</v>
      </c>
      <c r="G38" s="3" t="s">
        <v>69</v>
      </c>
      <c r="H38" s="3">
        <v>30005.5</v>
      </c>
      <c r="I38" s="3">
        <v>30005.5</v>
      </c>
      <c r="J38">
        <v>0</v>
      </c>
      <c r="K38" s="3">
        <v>30005.5</v>
      </c>
      <c r="L38" s="3">
        <v>5101.55</v>
      </c>
      <c r="M38" s="3">
        <v>2397.73</v>
      </c>
      <c r="N38" t="s">
        <v>77</v>
      </c>
      <c r="O38" t="s">
        <v>53</v>
      </c>
      <c r="P38" t="s">
        <v>53</v>
      </c>
      <c r="Q38" t="s">
        <v>53</v>
      </c>
      <c r="R38" t="s">
        <v>54</v>
      </c>
      <c r="S38" t="s">
        <v>54</v>
      </c>
      <c r="T38" t="s">
        <v>55</v>
      </c>
      <c r="U38">
        <v>83</v>
      </c>
      <c r="V38" t="s">
        <v>121</v>
      </c>
      <c r="W38" t="s">
        <v>122</v>
      </c>
      <c r="X38" s="4">
        <v>0</v>
      </c>
      <c r="Y38" t="s">
        <v>58</v>
      </c>
      <c r="Z38">
        <v>0</v>
      </c>
      <c r="AA38">
        <v>0</v>
      </c>
      <c r="AB38">
        <v>0</v>
      </c>
      <c r="AC38">
        <v>0</v>
      </c>
      <c r="AD38" s="3">
        <v>5101.55</v>
      </c>
      <c r="AE38" s="3">
        <v>5750</v>
      </c>
      <c r="AF38" t="s">
        <v>54</v>
      </c>
      <c r="AG38" t="s">
        <v>59</v>
      </c>
      <c r="AH38" t="s">
        <v>79</v>
      </c>
      <c r="AI38" t="s">
        <v>73</v>
      </c>
      <c r="AJ38" t="s">
        <v>73</v>
      </c>
      <c r="AK38" s="5">
        <v>46031.644791666666</v>
      </c>
      <c r="AO38" t="s">
        <v>54</v>
      </c>
      <c r="AP38">
        <v>0</v>
      </c>
      <c r="AR38" t="s">
        <v>54</v>
      </c>
      <c r="AS38" t="s">
        <v>54</v>
      </c>
      <c r="AT38">
        <v>6081</v>
      </c>
      <c r="AU38" t="s">
        <v>55</v>
      </c>
    </row>
    <row r="39" spans="1:47" hidden="1" x14ac:dyDescent="0.25">
      <c r="A39" t="s">
        <v>96</v>
      </c>
      <c r="B39" s="1">
        <v>38423</v>
      </c>
      <c r="C39" t="s">
        <v>48</v>
      </c>
      <c r="D39" t="s">
        <v>49</v>
      </c>
      <c r="E39" s="2">
        <v>46031</v>
      </c>
      <c r="F39" t="s">
        <v>120</v>
      </c>
      <c r="G39" t="s">
        <v>69</v>
      </c>
      <c r="H39" s="3">
        <v>30005.5</v>
      </c>
      <c r="I39" s="3">
        <v>30005.5</v>
      </c>
      <c r="J39">
        <v>0</v>
      </c>
      <c r="K39" s="3">
        <v>30005.5</v>
      </c>
      <c r="L39" s="3">
        <v>5101.55</v>
      </c>
      <c r="M39" s="3">
        <v>2397.73</v>
      </c>
      <c r="N39" t="s">
        <v>77</v>
      </c>
      <c r="O39" t="s">
        <v>53</v>
      </c>
      <c r="P39" t="s">
        <v>53</v>
      </c>
      <c r="Q39" t="s">
        <v>53</v>
      </c>
      <c r="R39" t="s">
        <v>54</v>
      </c>
      <c r="S39" t="s">
        <v>54</v>
      </c>
      <c r="T39" t="s">
        <v>55</v>
      </c>
      <c r="U39">
        <v>83</v>
      </c>
      <c r="V39" t="s">
        <v>121</v>
      </c>
      <c r="W39" t="s">
        <v>122</v>
      </c>
      <c r="X39" s="4">
        <v>0</v>
      </c>
      <c r="Y39" t="s">
        <v>58</v>
      </c>
      <c r="Z39">
        <v>0</v>
      </c>
      <c r="AA39">
        <v>0</v>
      </c>
      <c r="AB39">
        <v>0</v>
      </c>
      <c r="AC39">
        <v>0</v>
      </c>
      <c r="AD39" s="3">
        <v>5101.55</v>
      </c>
      <c r="AE39" s="3">
        <v>5750</v>
      </c>
      <c r="AF39" t="s">
        <v>54</v>
      </c>
      <c r="AG39" t="s">
        <v>59</v>
      </c>
      <c r="AH39" t="s">
        <v>79</v>
      </c>
      <c r="AI39" t="s">
        <v>73</v>
      </c>
      <c r="AJ39" t="s">
        <v>73</v>
      </c>
      <c r="AK39" s="5">
        <v>46031.644618055558</v>
      </c>
      <c r="AO39" t="s">
        <v>54</v>
      </c>
      <c r="AP39">
        <v>0</v>
      </c>
      <c r="AR39" t="s">
        <v>54</v>
      </c>
      <c r="AS39" t="s">
        <v>54</v>
      </c>
      <c r="AT39">
        <v>6081</v>
      </c>
      <c r="AU39" t="s">
        <v>55</v>
      </c>
    </row>
    <row r="40" spans="1:47" hidden="1" x14ac:dyDescent="0.25">
      <c r="A40" t="s">
        <v>47</v>
      </c>
      <c r="B40" s="1">
        <v>38426</v>
      </c>
      <c r="C40" t="s">
        <v>48</v>
      </c>
      <c r="D40" t="s">
        <v>49</v>
      </c>
      <c r="E40" s="2">
        <v>46031</v>
      </c>
      <c r="F40" t="s">
        <v>123</v>
      </c>
      <c r="G40" t="s">
        <v>124</v>
      </c>
      <c r="H40" s="3">
        <v>11330</v>
      </c>
      <c r="I40" s="3">
        <v>11330</v>
      </c>
      <c r="J40">
        <v>0</v>
      </c>
      <c r="K40" s="3">
        <v>11330</v>
      </c>
      <c r="L40" s="3">
        <v>1922</v>
      </c>
      <c r="M40" s="3">
        <v>903.34</v>
      </c>
      <c r="N40" t="s">
        <v>52</v>
      </c>
      <c r="O40" t="s">
        <v>53</v>
      </c>
      <c r="P40" t="s">
        <v>53</v>
      </c>
      <c r="Q40" t="s">
        <v>53</v>
      </c>
      <c r="R40" t="s">
        <v>54</v>
      </c>
      <c r="S40" t="s">
        <v>54</v>
      </c>
      <c r="T40" t="s">
        <v>55</v>
      </c>
      <c r="U40">
        <v>126</v>
      </c>
      <c r="V40" t="s">
        <v>56</v>
      </c>
      <c r="W40" t="s">
        <v>95</v>
      </c>
      <c r="X40" s="4">
        <v>0</v>
      </c>
      <c r="Y40" t="s">
        <v>58</v>
      </c>
      <c r="Z40">
        <v>0</v>
      </c>
      <c r="AA40">
        <v>0</v>
      </c>
      <c r="AB40">
        <v>0</v>
      </c>
      <c r="AC40">
        <v>0</v>
      </c>
      <c r="AD40" s="3">
        <v>1922</v>
      </c>
      <c r="AE40" s="3">
        <v>2000</v>
      </c>
      <c r="AF40" t="s">
        <v>54</v>
      </c>
      <c r="AG40" t="s">
        <v>59</v>
      </c>
      <c r="AI40" t="s">
        <v>60</v>
      </c>
      <c r="AJ40" t="s">
        <v>60</v>
      </c>
      <c r="AK40" s="5">
        <v>46031.674016203702</v>
      </c>
      <c r="AO40" t="s">
        <v>54</v>
      </c>
      <c r="AP40">
        <v>0</v>
      </c>
      <c r="AR40" t="s">
        <v>54</v>
      </c>
      <c r="AS40" t="s">
        <v>54</v>
      </c>
      <c r="AT40">
        <v>8466</v>
      </c>
      <c r="AU40" t="s">
        <v>55</v>
      </c>
    </row>
    <row r="41" spans="1:47" hidden="1" x14ac:dyDescent="0.25">
      <c r="A41" t="s">
        <v>96</v>
      </c>
      <c r="B41" s="1">
        <v>38427</v>
      </c>
      <c r="C41" t="s">
        <v>48</v>
      </c>
      <c r="D41" t="s">
        <v>49</v>
      </c>
      <c r="E41" s="2">
        <v>46034</v>
      </c>
      <c r="F41" t="s">
        <v>125</v>
      </c>
      <c r="G41" s="3" t="s">
        <v>66</v>
      </c>
      <c r="H41" s="3">
        <v>17968</v>
      </c>
      <c r="I41" s="3">
        <v>17968</v>
      </c>
      <c r="J41">
        <v>0</v>
      </c>
      <c r="K41" s="3">
        <v>17968</v>
      </c>
      <c r="L41" s="3">
        <v>2654.4</v>
      </c>
      <c r="M41" s="3">
        <v>1474.99</v>
      </c>
      <c r="N41" t="s">
        <v>52</v>
      </c>
      <c r="O41" t="s">
        <v>53</v>
      </c>
      <c r="P41" t="s">
        <v>53</v>
      </c>
      <c r="Q41" t="s">
        <v>53</v>
      </c>
      <c r="R41" t="s">
        <v>54</v>
      </c>
      <c r="S41" t="s">
        <v>54</v>
      </c>
      <c r="T41" t="s">
        <v>55</v>
      </c>
      <c r="U41">
        <v>126</v>
      </c>
      <c r="V41" t="s">
        <v>56</v>
      </c>
      <c r="W41" t="s">
        <v>72</v>
      </c>
      <c r="X41" s="4">
        <v>0</v>
      </c>
      <c r="Y41" t="s">
        <v>58</v>
      </c>
      <c r="Z41">
        <v>0</v>
      </c>
      <c r="AA41">
        <v>0</v>
      </c>
      <c r="AB41" s="3">
        <v>1524.8</v>
      </c>
      <c r="AC41">
        <v>0</v>
      </c>
      <c r="AD41" s="3">
        <v>1129.5999999999999</v>
      </c>
      <c r="AE41" s="3">
        <v>1000</v>
      </c>
      <c r="AF41" t="s">
        <v>54</v>
      </c>
      <c r="AG41" t="s">
        <v>59</v>
      </c>
      <c r="AI41" t="s">
        <v>60</v>
      </c>
      <c r="AJ41" t="s">
        <v>73</v>
      </c>
      <c r="AK41" s="5">
        <v>46034.643159722225</v>
      </c>
      <c r="AO41" t="s">
        <v>54</v>
      </c>
      <c r="AP41">
        <v>0</v>
      </c>
      <c r="AR41" t="s">
        <v>54</v>
      </c>
      <c r="AS41" t="s">
        <v>54</v>
      </c>
      <c r="AT41">
        <v>5443</v>
      </c>
      <c r="AU41" t="s">
        <v>55</v>
      </c>
    </row>
    <row r="42" spans="1:47" hidden="1" x14ac:dyDescent="0.25">
      <c r="A42" t="s">
        <v>47</v>
      </c>
      <c r="B42" s="1">
        <v>38428</v>
      </c>
      <c r="C42" t="s">
        <v>48</v>
      </c>
      <c r="D42" t="s">
        <v>49</v>
      </c>
      <c r="E42" s="2">
        <v>46035</v>
      </c>
      <c r="F42" s="3" t="s">
        <v>126</v>
      </c>
      <c r="G42" s="3" t="s">
        <v>89</v>
      </c>
      <c r="H42" s="3">
        <v>5120</v>
      </c>
      <c r="I42" s="3">
        <v>5120</v>
      </c>
      <c r="J42">
        <v>0</v>
      </c>
      <c r="K42" s="3">
        <v>5888</v>
      </c>
      <c r="L42" s="3">
        <v>620.5</v>
      </c>
      <c r="M42" s="3">
        <v>384.71</v>
      </c>
      <c r="N42" t="s">
        <v>84</v>
      </c>
      <c r="O42" t="s">
        <v>53</v>
      </c>
      <c r="P42" t="s">
        <v>53</v>
      </c>
      <c r="Q42" t="s">
        <v>53</v>
      </c>
      <c r="R42" t="s">
        <v>54</v>
      </c>
      <c r="S42" t="s">
        <v>54</v>
      </c>
      <c r="T42" t="s">
        <v>55</v>
      </c>
      <c r="U42">
        <v>9</v>
      </c>
      <c r="V42" t="s">
        <v>71</v>
      </c>
      <c r="W42" t="s">
        <v>95</v>
      </c>
      <c r="X42" s="4">
        <v>0</v>
      </c>
      <c r="Y42" t="s">
        <v>58</v>
      </c>
      <c r="Z42">
        <v>0</v>
      </c>
      <c r="AA42">
        <v>0</v>
      </c>
      <c r="AB42">
        <v>620.5</v>
      </c>
      <c r="AC42">
        <v>0</v>
      </c>
      <c r="AD42" s="3">
        <v>0</v>
      </c>
      <c r="AE42" s="3">
        <v>500</v>
      </c>
      <c r="AF42" t="s">
        <v>54</v>
      </c>
      <c r="AG42" t="s">
        <v>59</v>
      </c>
      <c r="AI42" t="s">
        <v>73</v>
      </c>
      <c r="AJ42" t="s">
        <v>73</v>
      </c>
      <c r="AK42" s="5">
        <v>46035.417569444442</v>
      </c>
      <c r="AO42" t="s">
        <v>54</v>
      </c>
      <c r="AP42">
        <v>0</v>
      </c>
      <c r="AR42" t="s">
        <v>54</v>
      </c>
      <c r="AS42" t="s">
        <v>54</v>
      </c>
      <c r="AT42">
        <v>3204</v>
      </c>
      <c r="AU42" t="s">
        <v>55</v>
      </c>
    </row>
    <row r="43" spans="1:47" hidden="1" x14ac:dyDescent="0.25">
      <c r="A43" t="s">
        <v>47</v>
      </c>
      <c r="B43" s="1">
        <v>38429</v>
      </c>
      <c r="C43" t="s">
        <v>48</v>
      </c>
      <c r="D43" t="s">
        <v>49</v>
      </c>
      <c r="E43" s="2">
        <v>46035</v>
      </c>
      <c r="F43" t="s">
        <v>126</v>
      </c>
      <c r="G43" t="s">
        <v>89</v>
      </c>
      <c r="H43" s="3">
        <v>5120</v>
      </c>
      <c r="I43" s="3">
        <v>5120</v>
      </c>
      <c r="J43">
        <v>0</v>
      </c>
      <c r="K43" s="3">
        <v>5888</v>
      </c>
      <c r="L43" s="3">
        <v>620.5</v>
      </c>
      <c r="M43" s="3">
        <v>384.71</v>
      </c>
      <c r="N43" t="s">
        <v>84</v>
      </c>
      <c r="O43" t="s">
        <v>53</v>
      </c>
      <c r="P43" t="s">
        <v>53</v>
      </c>
      <c r="Q43" t="s">
        <v>53</v>
      </c>
      <c r="R43" t="s">
        <v>54</v>
      </c>
      <c r="S43" t="s">
        <v>54</v>
      </c>
      <c r="T43" t="s">
        <v>55</v>
      </c>
      <c r="U43">
        <v>9</v>
      </c>
      <c r="V43" t="s">
        <v>71</v>
      </c>
      <c r="W43" t="s">
        <v>95</v>
      </c>
      <c r="X43" s="4">
        <v>0</v>
      </c>
      <c r="Y43" t="s">
        <v>58</v>
      </c>
      <c r="Z43" s="3">
        <v>0</v>
      </c>
      <c r="AA43">
        <v>0</v>
      </c>
      <c r="AB43" s="3">
        <v>620.5</v>
      </c>
      <c r="AC43">
        <v>0</v>
      </c>
      <c r="AD43" s="3">
        <v>0</v>
      </c>
      <c r="AE43" s="3">
        <v>500</v>
      </c>
      <c r="AF43" t="s">
        <v>54</v>
      </c>
      <c r="AG43" t="s">
        <v>59</v>
      </c>
      <c r="AI43" t="s">
        <v>73</v>
      </c>
      <c r="AJ43" t="s">
        <v>73</v>
      </c>
      <c r="AK43" s="5">
        <v>46035.417627314811</v>
      </c>
      <c r="AO43" t="s">
        <v>54</v>
      </c>
      <c r="AP43">
        <v>0</v>
      </c>
      <c r="AR43" t="s">
        <v>54</v>
      </c>
      <c r="AS43" t="s">
        <v>54</v>
      </c>
      <c r="AT43">
        <v>3204</v>
      </c>
      <c r="AU43" t="s">
        <v>55</v>
      </c>
    </row>
    <row r="44" spans="1:47" hidden="1" x14ac:dyDescent="0.25">
      <c r="A44" t="s">
        <v>47</v>
      </c>
      <c r="B44" s="1">
        <v>38430</v>
      </c>
      <c r="C44" t="s">
        <v>48</v>
      </c>
      <c r="D44" t="s">
        <v>49</v>
      </c>
      <c r="E44" s="2">
        <v>46035</v>
      </c>
      <c r="F44" t="s">
        <v>126</v>
      </c>
      <c r="G44" s="3" t="s">
        <v>89</v>
      </c>
      <c r="H44" s="3">
        <v>2925</v>
      </c>
      <c r="I44" s="3">
        <v>2925</v>
      </c>
      <c r="J44">
        <v>0</v>
      </c>
      <c r="K44" s="3">
        <v>3363.75</v>
      </c>
      <c r="L44" s="3">
        <v>372.5</v>
      </c>
      <c r="M44" s="3">
        <v>230.95</v>
      </c>
      <c r="N44" t="s">
        <v>84</v>
      </c>
      <c r="O44" t="s">
        <v>53</v>
      </c>
      <c r="P44" t="s">
        <v>53</v>
      </c>
      <c r="Q44" t="s">
        <v>53</v>
      </c>
      <c r="R44" t="s">
        <v>54</v>
      </c>
      <c r="S44" t="s">
        <v>54</v>
      </c>
      <c r="T44" t="s">
        <v>55</v>
      </c>
      <c r="U44">
        <v>9</v>
      </c>
      <c r="V44" t="s">
        <v>71</v>
      </c>
      <c r="W44" t="s">
        <v>95</v>
      </c>
      <c r="X44" s="4">
        <v>0</v>
      </c>
      <c r="Y44" t="s">
        <v>58</v>
      </c>
      <c r="Z44" s="3">
        <v>0</v>
      </c>
      <c r="AA44">
        <v>0</v>
      </c>
      <c r="AB44" s="3">
        <v>372.5</v>
      </c>
      <c r="AC44">
        <v>0</v>
      </c>
      <c r="AD44">
        <v>0</v>
      </c>
      <c r="AE44" s="3">
        <v>500</v>
      </c>
      <c r="AF44" t="s">
        <v>54</v>
      </c>
      <c r="AG44" t="s">
        <v>59</v>
      </c>
      <c r="AI44" t="s">
        <v>73</v>
      </c>
      <c r="AJ44" t="s">
        <v>73</v>
      </c>
      <c r="AK44" s="5">
        <v>46035.460555555554</v>
      </c>
      <c r="AO44" t="s">
        <v>54</v>
      </c>
      <c r="AP44">
        <v>0</v>
      </c>
      <c r="AR44" t="s">
        <v>54</v>
      </c>
      <c r="AS44" t="s">
        <v>54</v>
      </c>
      <c r="AT44">
        <v>3204</v>
      </c>
      <c r="AU44" t="s">
        <v>55</v>
      </c>
    </row>
    <row r="45" spans="1:47" hidden="1" x14ac:dyDescent="0.25">
      <c r="A45" t="s">
        <v>96</v>
      </c>
      <c r="B45" s="1">
        <v>38431</v>
      </c>
      <c r="C45" t="s">
        <v>48</v>
      </c>
      <c r="D45" t="s">
        <v>49</v>
      </c>
      <c r="E45" s="2">
        <v>46035</v>
      </c>
      <c r="F45" t="s">
        <v>127</v>
      </c>
      <c r="G45" t="s">
        <v>109</v>
      </c>
      <c r="H45" s="3">
        <v>1278.5</v>
      </c>
      <c r="I45" s="3">
        <v>1278.5</v>
      </c>
      <c r="J45">
        <v>0</v>
      </c>
      <c r="K45" s="3">
        <v>1278.5</v>
      </c>
      <c r="L45" s="3">
        <v>207.5</v>
      </c>
      <c r="M45" s="3">
        <v>92.13</v>
      </c>
      <c r="N45" t="s">
        <v>84</v>
      </c>
      <c r="O45" t="s">
        <v>53</v>
      </c>
      <c r="P45" t="s">
        <v>53</v>
      </c>
      <c r="Q45" t="s">
        <v>53</v>
      </c>
      <c r="R45" t="s">
        <v>54</v>
      </c>
      <c r="S45" t="s">
        <v>54</v>
      </c>
      <c r="T45" t="s">
        <v>55</v>
      </c>
      <c r="U45">
        <v>9</v>
      </c>
      <c r="V45" t="s">
        <v>71</v>
      </c>
      <c r="W45" t="s">
        <v>114</v>
      </c>
      <c r="X45" s="4">
        <v>0</v>
      </c>
      <c r="Y45" t="s">
        <v>62</v>
      </c>
      <c r="Z45" s="3"/>
      <c r="AB45" s="3"/>
      <c r="AE45" s="3"/>
      <c r="AK45" s="5"/>
    </row>
    <row r="46" spans="1:47" hidden="1" x14ac:dyDescent="0.25">
      <c r="A46" t="s">
        <v>63</v>
      </c>
      <c r="B46" s="1">
        <v>207.5</v>
      </c>
      <c r="C46">
        <v>0</v>
      </c>
      <c r="D46">
        <v>0</v>
      </c>
      <c r="E46" s="2">
        <v>0</v>
      </c>
      <c r="F46">
        <v>0</v>
      </c>
      <c r="G46">
        <v>50</v>
      </c>
      <c r="H46" s="3" t="s">
        <v>54</v>
      </c>
      <c r="I46" s="3" t="s">
        <v>59</v>
      </c>
      <c r="J46" t="s">
        <v>128</v>
      </c>
      <c r="K46" s="3" t="s">
        <v>73</v>
      </c>
      <c r="L46" s="3" t="s">
        <v>73</v>
      </c>
      <c r="M46" s="3">
        <v>46035.491793981484</v>
      </c>
      <c r="Q46" t="s">
        <v>54</v>
      </c>
      <c r="R46">
        <v>0</v>
      </c>
      <c r="T46" t="s">
        <v>54</v>
      </c>
      <c r="U46" t="s">
        <v>54</v>
      </c>
      <c r="V46">
        <v>4963</v>
      </c>
      <c r="W46" t="s">
        <v>55</v>
      </c>
      <c r="X46" s="4"/>
      <c r="Z46" s="3"/>
      <c r="AB46" s="3"/>
      <c r="AE46" s="3"/>
      <c r="AK46" s="5"/>
    </row>
    <row r="47" spans="1:47" hidden="1" x14ac:dyDescent="0.25">
      <c r="A47" t="s">
        <v>96</v>
      </c>
      <c r="B47" s="1">
        <v>38432</v>
      </c>
      <c r="C47" t="s">
        <v>48</v>
      </c>
      <c r="D47" t="s">
        <v>49</v>
      </c>
      <c r="E47" s="2">
        <v>46035</v>
      </c>
      <c r="F47" t="s">
        <v>127</v>
      </c>
      <c r="G47" s="3" t="s">
        <v>109</v>
      </c>
      <c r="H47" s="3">
        <v>2557</v>
      </c>
      <c r="I47" s="3">
        <v>2557</v>
      </c>
      <c r="J47">
        <v>0</v>
      </c>
      <c r="K47" s="3">
        <v>2557</v>
      </c>
      <c r="L47" s="3">
        <v>415</v>
      </c>
      <c r="M47" s="3">
        <v>184.26</v>
      </c>
      <c r="N47" t="s">
        <v>84</v>
      </c>
      <c r="O47" t="s">
        <v>53</v>
      </c>
      <c r="P47" t="s">
        <v>53</v>
      </c>
      <c r="Q47" t="s">
        <v>53</v>
      </c>
      <c r="R47" t="s">
        <v>54</v>
      </c>
      <c r="S47" t="s">
        <v>54</v>
      </c>
      <c r="T47" t="s">
        <v>55</v>
      </c>
      <c r="U47">
        <v>9</v>
      </c>
      <c r="V47" t="s">
        <v>71</v>
      </c>
      <c r="W47" t="s">
        <v>114</v>
      </c>
      <c r="X47" s="4">
        <v>0</v>
      </c>
      <c r="Y47" t="s">
        <v>62</v>
      </c>
      <c r="AB47" s="3"/>
      <c r="AK47" s="5"/>
    </row>
    <row r="48" spans="1:47" hidden="1" x14ac:dyDescent="0.25">
      <c r="A48" t="s">
        <v>63</v>
      </c>
      <c r="B48" s="1">
        <v>415</v>
      </c>
      <c r="C48">
        <v>0</v>
      </c>
      <c r="D48">
        <v>0</v>
      </c>
      <c r="E48" s="2">
        <v>0</v>
      </c>
      <c r="F48">
        <v>0</v>
      </c>
      <c r="G48" s="3">
        <v>100</v>
      </c>
      <c r="H48" s="3" t="s">
        <v>54</v>
      </c>
      <c r="I48" s="3" t="s">
        <v>59</v>
      </c>
      <c r="J48" t="s">
        <v>128</v>
      </c>
      <c r="K48" s="3" t="s">
        <v>73</v>
      </c>
      <c r="L48" s="3" t="s">
        <v>73</v>
      </c>
      <c r="M48" s="3">
        <v>46035.490428240744</v>
      </c>
      <c r="Q48" t="s">
        <v>54</v>
      </c>
      <c r="R48">
        <v>0</v>
      </c>
      <c r="T48" t="s">
        <v>54</v>
      </c>
      <c r="U48" t="s">
        <v>54</v>
      </c>
      <c r="V48">
        <v>4963</v>
      </c>
      <c r="W48" t="s">
        <v>55</v>
      </c>
      <c r="X48" s="4"/>
      <c r="AK48" s="5"/>
    </row>
    <row r="49" spans="1:47" hidden="1" x14ac:dyDescent="0.25">
      <c r="A49" t="s">
        <v>47</v>
      </c>
      <c r="B49" s="1">
        <v>38433</v>
      </c>
      <c r="C49" t="s">
        <v>48</v>
      </c>
      <c r="D49" t="s">
        <v>49</v>
      </c>
      <c r="E49" s="2">
        <v>46035</v>
      </c>
      <c r="F49" t="s">
        <v>129</v>
      </c>
      <c r="G49" s="3" t="s">
        <v>130</v>
      </c>
      <c r="H49" s="3">
        <v>6480</v>
      </c>
      <c r="I49" s="3">
        <v>6480</v>
      </c>
      <c r="J49">
        <v>0</v>
      </c>
      <c r="K49" s="3">
        <v>7452</v>
      </c>
      <c r="L49" s="3">
        <v>1164</v>
      </c>
      <c r="M49" s="3">
        <v>488.88</v>
      </c>
      <c r="N49" t="s">
        <v>52</v>
      </c>
      <c r="O49" t="s">
        <v>53</v>
      </c>
      <c r="P49" t="s">
        <v>53</v>
      </c>
      <c r="Q49" t="s">
        <v>53</v>
      </c>
      <c r="R49" t="s">
        <v>54</v>
      </c>
      <c r="S49" t="s">
        <v>54</v>
      </c>
      <c r="T49" t="s">
        <v>55</v>
      </c>
      <c r="U49">
        <v>126</v>
      </c>
      <c r="V49" t="s">
        <v>56</v>
      </c>
      <c r="W49" t="s">
        <v>131</v>
      </c>
      <c r="X49" s="4">
        <v>0</v>
      </c>
      <c r="Y49" t="s">
        <v>62</v>
      </c>
      <c r="AB49" s="3"/>
      <c r="AE49" s="3"/>
      <c r="AK49" s="5"/>
    </row>
    <row r="50" spans="1:47" hidden="1" x14ac:dyDescent="0.25">
      <c r="A50" t="s">
        <v>63</v>
      </c>
      <c r="B50" s="1">
        <v>1164</v>
      </c>
      <c r="C50">
        <v>0</v>
      </c>
      <c r="D50">
        <v>0</v>
      </c>
      <c r="E50" s="2">
        <v>0</v>
      </c>
      <c r="F50">
        <v>0</v>
      </c>
      <c r="G50" s="3">
        <v>1000</v>
      </c>
      <c r="H50" s="3" t="s">
        <v>54</v>
      </c>
      <c r="I50" s="3" t="s">
        <v>59</v>
      </c>
      <c r="K50" s="3" t="s">
        <v>73</v>
      </c>
      <c r="L50" s="3" t="s">
        <v>73</v>
      </c>
      <c r="M50" s="3">
        <v>46035.629131944443</v>
      </c>
      <c r="Q50" t="s">
        <v>54</v>
      </c>
      <c r="R50">
        <v>0</v>
      </c>
      <c r="T50" t="s">
        <v>54</v>
      </c>
      <c r="U50" t="s">
        <v>54</v>
      </c>
      <c r="V50">
        <v>6379</v>
      </c>
      <c r="W50" t="s">
        <v>55</v>
      </c>
      <c r="X50" s="4"/>
      <c r="AB50" s="3"/>
      <c r="AE50" s="3"/>
      <c r="AK50" s="5"/>
    </row>
    <row r="51" spans="1:47" hidden="1" x14ac:dyDescent="0.25">
      <c r="A51" t="s">
        <v>81</v>
      </c>
      <c r="B51" s="1">
        <v>38434</v>
      </c>
      <c r="C51" t="s">
        <v>48</v>
      </c>
      <c r="D51" t="s">
        <v>49</v>
      </c>
      <c r="E51" s="2">
        <v>46035</v>
      </c>
      <c r="F51" t="s">
        <v>132</v>
      </c>
      <c r="G51" s="3" t="s">
        <v>87</v>
      </c>
      <c r="H51" s="3">
        <v>6760</v>
      </c>
      <c r="I51" s="3">
        <v>6760</v>
      </c>
      <c r="J51">
        <v>0</v>
      </c>
      <c r="K51" s="3">
        <v>6760</v>
      </c>
      <c r="L51" s="3">
        <v>1184</v>
      </c>
      <c r="M51" s="3">
        <v>680.8</v>
      </c>
      <c r="N51" t="s">
        <v>77</v>
      </c>
      <c r="O51" t="s">
        <v>53</v>
      </c>
      <c r="P51" t="s">
        <v>53</v>
      </c>
      <c r="Q51" t="s">
        <v>53</v>
      </c>
      <c r="R51" t="s">
        <v>54</v>
      </c>
      <c r="S51" t="s">
        <v>54</v>
      </c>
      <c r="T51" t="s">
        <v>55</v>
      </c>
      <c r="U51">
        <v>83</v>
      </c>
      <c r="V51" t="s">
        <v>56</v>
      </c>
      <c r="W51">
        <v>0</v>
      </c>
      <c r="X51" s="4">
        <v>0</v>
      </c>
      <c r="Y51" t="s">
        <v>58</v>
      </c>
      <c r="Z51">
        <v>0</v>
      </c>
      <c r="AA51">
        <v>0</v>
      </c>
      <c r="AB51" s="3">
        <v>1184</v>
      </c>
      <c r="AC51">
        <v>0</v>
      </c>
      <c r="AD51">
        <v>0</v>
      </c>
      <c r="AE51" s="3">
        <v>2000</v>
      </c>
      <c r="AF51" t="s">
        <v>54</v>
      </c>
      <c r="AG51" t="s">
        <v>59</v>
      </c>
      <c r="AI51" t="s">
        <v>80</v>
      </c>
      <c r="AJ51" t="s">
        <v>73</v>
      </c>
      <c r="AK51" s="5">
        <v>46035.724131944444</v>
      </c>
      <c r="AO51" t="s">
        <v>54</v>
      </c>
      <c r="AP51">
        <v>0</v>
      </c>
      <c r="AR51" t="s">
        <v>54</v>
      </c>
      <c r="AS51" t="s">
        <v>54</v>
      </c>
      <c r="AT51">
        <v>5289</v>
      </c>
      <c r="AU51" t="s">
        <v>55</v>
      </c>
    </row>
    <row r="52" spans="1:47" hidden="1" x14ac:dyDescent="0.25">
      <c r="A52" t="s">
        <v>47</v>
      </c>
      <c r="B52" s="1">
        <v>38435</v>
      </c>
      <c r="C52" t="s">
        <v>48</v>
      </c>
      <c r="D52" t="s">
        <v>49</v>
      </c>
      <c r="E52" s="2">
        <v>46035</v>
      </c>
      <c r="F52" t="s">
        <v>133</v>
      </c>
      <c r="G52" t="s">
        <v>89</v>
      </c>
      <c r="H52" s="3">
        <v>10630</v>
      </c>
      <c r="I52" s="3">
        <v>10630</v>
      </c>
      <c r="J52">
        <v>0</v>
      </c>
      <c r="K52" s="3">
        <v>12224.5</v>
      </c>
      <c r="L52" s="3">
        <v>1685</v>
      </c>
      <c r="M52" s="3">
        <v>876.2</v>
      </c>
      <c r="N52" t="s">
        <v>52</v>
      </c>
      <c r="O52" t="s">
        <v>53</v>
      </c>
      <c r="P52" t="s">
        <v>53</v>
      </c>
      <c r="Q52" t="s">
        <v>53</v>
      </c>
      <c r="R52" t="s">
        <v>54</v>
      </c>
      <c r="S52" t="s">
        <v>54</v>
      </c>
      <c r="T52" t="s">
        <v>55</v>
      </c>
      <c r="U52">
        <v>126</v>
      </c>
      <c r="V52" t="s">
        <v>56</v>
      </c>
      <c r="W52" t="s">
        <v>134</v>
      </c>
      <c r="X52" s="4">
        <v>0</v>
      </c>
      <c r="Y52" t="s">
        <v>58</v>
      </c>
      <c r="Z52" s="3">
        <v>0</v>
      </c>
      <c r="AA52">
        <v>0</v>
      </c>
      <c r="AB52" s="3">
        <v>0</v>
      </c>
      <c r="AC52">
        <v>0</v>
      </c>
      <c r="AD52" s="3">
        <v>1685</v>
      </c>
      <c r="AE52" s="3">
        <v>1000</v>
      </c>
      <c r="AF52" t="s">
        <v>54</v>
      </c>
      <c r="AG52" t="s">
        <v>59</v>
      </c>
      <c r="AI52" t="s">
        <v>60</v>
      </c>
      <c r="AJ52" t="s">
        <v>60</v>
      </c>
      <c r="AK52" s="5">
        <v>46035.861909722225</v>
      </c>
      <c r="AO52" t="s">
        <v>54</v>
      </c>
      <c r="AP52">
        <v>0</v>
      </c>
      <c r="AR52" t="s">
        <v>54</v>
      </c>
      <c r="AS52" t="s">
        <v>54</v>
      </c>
      <c r="AT52">
        <v>6130</v>
      </c>
      <c r="AU52" t="s">
        <v>55</v>
      </c>
    </row>
    <row r="53" spans="1:47" hidden="1" x14ac:dyDescent="0.25">
      <c r="A53" t="s">
        <v>47</v>
      </c>
      <c r="B53" s="1">
        <v>38436</v>
      </c>
      <c r="C53" t="s">
        <v>48</v>
      </c>
      <c r="D53" t="s">
        <v>49</v>
      </c>
      <c r="E53" s="2">
        <v>46036</v>
      </c>
      <c r="F53" t="s">
        <v>50</v>
      </c>
      <c r="G53" s="3" t="s">
        <v>51</v>
      </c>
      <c r="H53" s="3">
        <v>28250</v>
      </c>
      <c r="I53" s="3">
        <v>28250</v>
      </c>
      <c r="J53">
        <v>0</v>
      </c>
      <c r="K53" s="3">
        <v>32487.5</v>
      </c>
      <c r="L53" s="3">
        <v>5860</v>
      </c>
      <c r="M53" s="3">
        <v>2216.1799999999998</v>
      </c>
      <c r="N53" t="s">
        <v>52</v>
      </c>
      <c r="O53" t="s">
        <v>53</v>
      </c>
      <c r="P53" t="s">
        <v>53</v>
      </c>
      <c r="Q53" t="s">
        <v>53</v>
      </c>
      <c r="R53" t="s">
        <v>54</v>
      </c>
      <c r="S53" t="s">
        <v>54</v>
      </c>
      <c r="T53" t="s">
        <v>55</v>
      </c>
      <c r="U53">
        <v>126</v>
      </c>
      <c r="V53" t="s">
        <v>56</v>
      </c>
      <c r="W53" t="s">
        <v>57</v>
      </c>
      <c r="X53" s="4">
        <v>0</v>
      </c>
      <c r="Y53" t="s">
        <v>58</v>
      </c>
      <c r="Z53" s="3">
        <v>5860</v>
      </c>
      <c r="AA53">
        <v>0</v>
      </c>
      <c r="AB53">
        <v>0</v>
      </c>
      <c r="AC53">
        <v>0</v>
      </c>
      <c r="AD53" s="3">
        <v>0</v>
      </c>
      <c r="AE53" s="3">
        <v>10000</v>
      </c>
      <c r="AF53" t="s">
        <v>54</v>
      </c>
      <c r="AG53" t="s">
        <v>59</v>
      </c>
      <c r="AI53" t="s">
        <v>92</v>
      </c>
      <c r="AJ53" t="s">
        <v>73</v>
      </c>
      <c r="AK53" s="5">
        <v>46036.454861111109</v>
      </c>
      <c r="AO53" t="s">
        <v>54</v>
      </c>
      <c r="AP53">
        <v>0</v>
      </c>
      <c r="AR53" t="s">
        <v>54</v>
      </c>
      <c r="AS53" t="s">
        <v>54</v>
      </c>
      <c r="AT53">
        <v>6611</v>
      </c>
      <c r="AU53" t="s">
        <v>55</v>
      </c>
    </row>
    <row r="54" spans="1:47" hidden="1" x14ac:dyDescent="0.25">
      <c r="A54" t="s">
        <v>47</v>
      </c>
      <c r="B54" s="1">
        <v>38437</v>
      </c>
      <c r="C54" t="s">
        <v>48</v>
      </c>
      <c r="D54" t="s">
        <v>49</v>
      </c>
      <c r="E54" s="2">
        <v>46036</v>
      </c>
      <c r="F54" t="s">
        <v>135</v>
      </c>
      <c r="G54" t="s">
        <v>94</v>
      </c>
      <c r="H54" s="3">
        <v>9330</v>
      </c>
      <c r="I54" s="3">
        <v>9330</v>
      </c>
      <c r="J54">
        <v>0</v>
      </c>
      <c r="K54" s="3">
        <v>9330</v>
      </c>
      <c r="L54" s="3">
        <v>1983.5</v>
      </c>
      <c r="M54" s="3">
        <v>667.84</v>
      </c>
      <c r="N54" t="s">
        <v>52</v>
      </c>
      <c r="O54" t="s">
        <v>53</v>
      </c>
      <c r="P54" t="s">
        <v>53</v>
      </c>
      <c r="Q54" t="s">
        <v>53</v>
      </c>
      <c r="R54" t="s">
        <v>54</v>
      </c>
      <c r="S54" t="s">
        <v>54</v>
      </c>
      <c r="T54" t="s">
        <v>55</v>
      </c>
      <c r="U54">
        <v>126</v>
      </c>
      <c r="V54" t="s">
        <v>56</v>
      </c>
      <c r="W54" t="s">
        <v>117</v>
      </c>
      <c r="X54" s="4">
        <v>0</v>
      </c>
      <c r="Y54" t="s">
        <v>62</v>
      </c>
      <c r="Z54" s="3"/>
      <c r="AE54" s="3"/>
      <c r="AK54" s="5"/>
    </row>
    <row r="55" spans="1:47" hidden="1" x14ac:dyDescent="0.25">
      <c r="A55" t="s">
        <v>63</v>
      </c>
      <c r="B55" s="1">
        <v>1983.5</v>
      </c>
      <c r="C55">
        <v>0</v>
      </c>
      <c r="D55">
        <v>0</v>
      </c>
      <c r="E55" s="2">
        <v>0</v>
      </c>
      <c r="F55" s="3">
        <v>0</v>
      </c>
      <c r="G55" s="3">
        <v>25000</v>
      </c>
      <c r="H55" s="3" t="s">
        <v>54</v>
      </c>
      <c r="I55" s="3" t="s">
        <v>59</v>
      </c>
      <c r="K55" s="3" t="s">
        <v>73</v>
      </c>
      <c r="L55" s="3" t="s">
        <v>73</v>
      </c>
      <c r="M55" s="3">
        <v>46037.328819444447</v>
      </c>
      <c r="Q55" t="s">
        <v>54</v>
      </c>
      <c r="R55">
        <v>0</v>
      </c>
      <c r="T55" t="s">
        <v>54</v>
      </c>
      <c r="U55" t="s">
        <v>54</v>
      </c>
      <c r="V55">
        <v>3366</v>
      </c>
      <c r="W55" t="s">
        <v>55</v>
      </c>
      <c r="X55" s="4"/>
      <c r="Z55" s="3"/>
      <c r="AE55" s="3"/>
      <c r="AK55" s="5"/>
    </row>
    <row r="56" spans="1:47" hidden="1" x14ac:dyDescent="0.25">
      <c r="A56" t="s">
        <v>47</v>
      </c>
      <c r="B56" s="1">
        <v>38438</v>
      </c>
      <c r="C56" t="s">
        <v>48</v>
      </c>
      <c r="D56" t="s">
        <v>49</v>
      </c>
      <c r="E56" s="2">
        <v>46037</v>
      </c>
      <c r="F56" t="s">
        <v>101</v>
      </c>
      <c r="G56" s="3" t="s">
        <v>94</v>
      </c>
      <c r="H56" s="3">
        <v>23030</v>
      </c>
      <c r="I56" s="3">
        <v>23030</v>
      </c>
      <c r="J56">
        <v>0</v>
      </c>
      <c r="K56" s="3">
        <v>26484.5</v>
      </c>
      <c r="L56" s="3">
        <v>3401</v>
      </c>
      <c r="M56" s="3">
        <v>1902.72</v>
      </c>
      <c r="N56" t="s">
        <v>84</v>
      </c>
      <c r="O56" t="s">
        <v>53</v>
      </c>
      <c r="P56" t="s">
        <v>53</v>
      </c>
      <c r="Q56" t="s">
        <v>53</v>
      </c>
      <c r="R56" t="s">
        <v>54</v>
      </c>
      <c r="S56" t="s">
        <v>54</v>
      </c>
      <c r="T56" t="s">
        <v>55</v>
      </c>
      <c r="U56">
        <v>9</v>
      </c>
      <c r="V56" t="s">
        <v>71</v>
      </c>
      <c r="W56" t="s">
        <v>102</v>
      </c>
      <c r="X56" s="4">
        <v>0</v>
      </c>
      <c r="Y56" t="s">
        <v>58</v>
      </c>
      <c r="Z56">
        <v>710</v>
      </c>
      <c r="AA56">
        <v>0</v>
      </c>
      <c r="AB56" s="3">
        <v>2691</v>
      </c>
      <c r="AC56">
        <v>0</v>
      </c>
      <c r="AD56" s="3">
        <v>0</v>
      </c>
      <c r="AE56" s="3">
        <v>2000</v>
      </c>
      <c r="AF56" t="s">
        <v>54</v>
      </c>
      <c r="AG56" t="s">
        <v>59</v>
      </c>
      <c r="AH56" t="s">
        <v>103</v>
      </c>
      <c r="AI56" t="s">
        <v>92</v>
      </c>
      <c r="AJ56" t="s">
        <v>92</v>
      </c>
      <c r="AK56" s="5">
        <v>46037.309687499997</v>
      </c>
      <c r="AO56" t="s">
        <v>54</v>
      </c>
      <c r="AP56">
        <v>0</v>
      </c>
      <c r="AR56" t="s">
        <v>54</v>
      </c>
      <c r="AS56" t="s">
        <v>54</v>
      </c>
      <c r="AT56">
        <v>161</v>
      </c>
      <c r="AU56" t="s">
        <v>55</v>
      </c>
    </row>
    <row r="57" spans="1:47" hidden="1" x14ac:dyDescent="0.25">
      <c r="A57" t="s">
        <v>136</v>
      </c>
      <c r="B57" s="1">
        <v>38439</v>
      </c>
      <c r="C57" t="s">
        <v>48</v>
      </c>
      <c r="D57" t="s">
        <v>49</v>
      </c>
      <c r="E57" s="2">
        <v>46037</v>
      </c>
      <c r="F57" t="s">
        <v>207</v>
      </c>
      <c r="G57" s="3" t="s">
        <v>137</v>
      </c>
      <c r="H57" s="3">
        <v>16100</v>
      </c>
      <c r="I57" s="3">
        <v>16100</v>
      </c>
      <c r="J57">
        <v>0</v>
      </c>
      <c r="K57" s="3">
        <v>16100</v>
      </c>
      <c r="L57" s="3">
        <v>4892</v>
      </c>
      <c r="M57" s="3">
        <v>2141.16</v>
      </c>
      <c r="N57" t="s">
        <v>52</v>
      </c>
      <c r="O57" t="s">
        <v>53</v>
      </c>
      <c r="P57" t="s">
        <v>53</v>
      </c>
      <c r="Q57" t="s">
        <v>53</v>
      </c>
      <c r="R57" t="s">
        <v>54</v>
      </c>
      <c r="S57" t="s">
        <v>54</v>
      </c>
      <c r="T57" t="s">
        <v>55</v>
      </c>
      <c r="U57">
        <v>126</v>
      </c>
      <c r="V57" t="s">
        <v>56</v>
      </c>
      <c r="W57" t="s">
        <v>114</v>
      </c>
      <c r="X57" s="4">
        <v>0</v>
      </c>
      <c r="Y57" t="s">
        <v>62</v>
      </c>
      <c r="AD57" s="3"/>
      <c r="AE57" s="3"/>
      <c r="AK57" s="5"/>
    </row>
    <row r="58" spans="1:47" hidden="1" x14ac:dyDescent="0.25">
      <c r="A58" t="s">
        <v>63</v>
      </c>
      <c r="B58" s="1">
        <v>4892</v>
      </c>
      <c r="C58">
        <v>0</v>
      </c>
      <c r="D58">
        <v>0</v>
      </c>
      <c r="E58" s="2">
        <v>0</v>
      </c>
      <c r="F58" s="3">
        <v>0</v>
      </c>
      <c r="G58" s="3">
        <v>3000</v>
      </c>
      <c r="H58" s="3" t="s">
        <v>54</v>
      </c>
      <c r="I58" s="3" t="s">
        <v>59</v>
      </c>
      <c r="J58" t="s">
        <v>171</v>
      </c>
      <c r="K58" s="3" t="s">
        <v>60</v>
      </c>
      <c r="L58" s="3" t="s">
        <v>60</v>
      </c>
      <c r="M58" s="3">
        <v>46037.491076388891</v>
      </c>
      <c r="Q58" t="s">
        <v>54</v>
      </c>
      <c r="R58">
        <v>0</v>
      </c>
      <c r="T58" t="s">
        <v>54</v>
      </c>
      <c r="U58" t="s">
        <v>54</v>
      </c>
      <c r="V58">
        <v>8571</v>
      </c>
      <c r="W58" t="s">
        <v>55</v>
      </c>
      <c r="X58" s="4"/>
      <c r="AK58" s="5"/>
    </row>
    <row r="59" spans="1:47" hidden="1" x14ac:dyDescent="0.25">
      <c r="A59" t="s">
        <v>47</v>
      </c>
      <c r="B59" s="1">
        <v>38440</v>
      </c>
      <c r="C59" t="s">
        <v>48</v>
      </c>
      <c r="D59" t="s">
        <v>49</v>
      </c>
      <c r="E59" s="2">
        <v>46037</v>
      </c>
      <c r="F59" t="s">
        <v>138</v>
      </c>
      <c r="G59" s="3" t="s">
        <v>89</v>
      </c>
      <c r="H59" s="3">
        <v>3600</v>
      </c>
      <c r="I59" s="3">
        <v>3600</v>
      </c>
      <c r="J59">
        <v>0</v>
      </c>
      <c r="K59" s="3">
        <v>4140</v>
      </c>
      <c r="L59" s="3">
        <v>439</v>
      </c>
      <c r="M59" s="3">
        <v>272.18</v>
      </c>
      <c r="N59" t="s">
        <v>52</v>
      </c>
      <c r="O59" t="s">
        <v>53</v>
      </c>
      <c r="P59" t="s">
        <v>53</v>
      </c>
      <c r="Q59" t="s">
        <v>53</v>
      </c>
      <c r="R59" t="s">
        <v>54</v>
      </c>
      <c r="S59" t="s">
        <v>54</v>
      </c>
      <c r="T59" t="s">
        <v>55</v>
      </c>
      <c r="U59">
        <v>126</v>
      </c>
      <c r="V59" t="s">
        <v>56</v>
      </c>
      <c r="W59" t="s">
        <v>95</v>
      </c>
      <c r="X59" s="4">
        <v>0</v>
      </c>
      <c r="Y59" t="s">
        <v>58</v>
      </c>
      <c r="Z59" s="3">
        <v>0</v>
      </c>
      <c r="AA59">
        <v>0</v>
      </c>
      <c r="AB59">
        <v>439</v>
      </c>
      <c r="AC59">
        <v>0</v>
      </c>
      <c r="AD59">
        <v>0</v>
      </c>
      <c r="AE59" s="3">
        <v>500</v>
      </c>
      <c r="AF59" t="s">
        <v>54</v>
      </c>
      <c r="AG59" t="s">
        <v>59</v>
      </c>
      <c r="AI59" t="s">
        <v>73</v>
      </c>
      <c r="AJ59" t="s">
        <v>73</v>
      </c>
      <c r="AK59" s="5">
        <v>46037.576493055552</v>
      </c>
      <c r="AO59" t="s">
        <v>54</v>
      </c>
      <c r="AP59">
        <v>0</v>
      </c>
      <c r="AR59" t="s">
        <v>54</v>
      </c>
      <c r="AS59" t="s">
        <v>54</v>
      </c>
      <c r="AT59">
        <v>7224</v>
      </c>
      <c r="AU59" t="s">
        <v>55</v>
      </c>
    </row>
    <row r="60" spans="1:47" hidden="1" x14ac:dyDescent="0.25">
      <c r="A60" t="s">
        <v>81</v>
      </c>
      <c r="B60" s="1">
        <v>38442</v>
      </c>
      <c r="C60" t="s">
        <v>48</v>
      </c>
      <c r="D60" t="s">
        <v>49</v>
      </c>
      <c r="E60" s="2">
        <v>46037</v>
      </c>
      <c r="F60" t="s">
        <v>139</v>
      </c>
      <c r="G60" t="s">
        <v>140</v>
      </c>
      <c r="H60" s="3">
        <v>8146</v>
      </c>
      <c r="I60" s="3">
        <v>8146</v>
      </c>
      <c r="J60">
        <v>0</v>
      </c>
      <c r="K60" s="3">
        <v>8146</v>
      </c>
      <c r="L60" s="3">
        <v>2266.9</v>
      </c>
      <c r="M60" s="3">
        <v>736.75</v>
      </c>
      <c r="N60" t="s">
        <v>77</v>
      </c>
      <c r="O60" t="s">
        <v>53</v>
      </c>
      <c r="P60" t="s">
        <v>53</v>
      </c>
      <c r="Q60" t="s">
        <v>53</v>
      </c>
      <c r="R60" t="s">
        <v>54</v>
      </c>
      <c r="S60" t="s">
        <v>54</v>
      </c>
      <c r="T60" t="s">
        <v>55</v>
      </c>
      <c r="U60">
        <v>83</v>
      </c>
      <c r="W60" t="s">
        <v>72</v>
      </c>
      <c r="X60" s="4">
        <v>0</v>
      </c>
      <c r="Y60" t="s">
        <v>58</v>
      </c>
      <c r="Z60" s="3">
        <v>2266.9</v>
      </c>
      <c r="AA60">
        <v>0</v>
      </c>
      <c r="AB60">
        <v>0</v>
      </c>
      <c r="AC60">
        <v>0</v>
      </c>
      <c r="AD60">
        <v>0</v>
      </c>
      <c r="AE60" s="3">
        <v>2300</v>
      </c>
      <c r="AF60" t="s">
        <v>54</v>
      </c>
      <c r="AG60" t="s">
        <v>59</v>
      </c>
      <c r="AH60" t="s">
        <v>103</v>
      </c>
      <c r="AI60" t="s">
        <v>80</v>
      </c>
      <c r="AJ60" t="s">
        <v>73</v>
      </c>
      <c r="AK60" s="5">
        <v>46038.333622685182</v>
      </c>
      <c r="AO60" t="s">
        <v>54</v>
      </c>
      <c r="AP60">
        <v>0</v>
      </c>
      <c r="AR60" t="s">
        <v>54</v>
      </c>
      <c r="AS60" t="s">
        <v>54</v>
      </c>
      <c r="AT60">
        <v>3465</v>
      </c>
      <c r="AU60" t="s">
        <v>55</v>
      </c>
    </row>
    <row r="61" spans="1:47" hidden="1" x14ac:dyDescent="0.25">
      <c r="A61" t="s">
        <v>96</v>
      </c>
      <c r="B61" s="1">
        <v>38443</v>
      </c>
      <c r="C61" t="s">
        <v>48</v>
      </c>
      <c r="D61" s="3" t="s">
        <v>49</v>
      </c>
      <c r="E61" s="2">
        <v>46037</v>
      </c>
      <c r="F61" t="s">
        <v>141</v>
      </c>
      <c r="G61" s="3" t="s">
        <v>94</v>
      </c>
      <c r="H61" s="3">
        <v>4122</v>
      </c>
      <c r="I61" s="3">
        <v>4122</v>
      </c>
      <c r="J61">
        <v>0</v>
      </c>
      <c r="K61" s="3">
        <v>4122</v>
      </c>
      <c r="L61" s="3">
        <v>1069.2</v>
      </c>
      <c r="M61" s="3">
        <v>310.07</v>
      </c>
      <c r="N61" t="s">
        <v>106</v>
      </c>
      <c r="O61" t="s">
        <v>53</v>
      </c>
      <c r="P61" t="s">
        <v>53</v>
      </c>
      <c r="Q61" t="s">
        <v>53</v>
      </c>
      <c r="R61" t="s">
        <v>54</v>
      </c>
      <c r="S61" t="s">
        <v>54</v>
      </c>
      <c r="T61" t="s">
        <v>55</v>
      </c>
      <c r="U61">
        <v>145</v>
      </c>
      <c r="W61" t="s">
        <v>142</v>
      </c>
      <c r="X61" s="4">
        <v>0</v>
      </c>
      <c r="Y61" t="s">
        <v>62</v>
      </c>
      <c r="Z61" s="3"/>
      <c r="AE61" s="3"/>
      <c r="AK61" s="5"/>
    </row>
    <row r="62" spans="1:47" hidden="1" x14ac:dyDescent="0.25">
      <c r="A62" t="s">
        <v>63</v>
      </c>
      <c r="B62" s="1">
        <v>1069.2</v>
      </c>
      <c r="C62">
        <v>0</v>
      </c>
      <c r="D62">
        <v>0</v>
      </c>
      <c r="E62" s="2">
        <v>0</v>
      </c>
      <c r="F62">
        <v>0</v>
      </c>
      <c r="G62" s="3">
        <v>1800</v>
      </c>
      <c r="H62" s="3" t="s">
        <v>54</v>
      </c>
      <c r="I62" s="3" t="s">
        <v>59</v>
      </c>
      <c r="J62" t="s">
        <v>143</v>
      </c>
      <c r="K62" s="3" t="s">
        <v>73</v>
      </c>
      <c r="L62" s="3" t="s">
        <v>73</v>
      </c>
      <c r="M62" s="3">
        <v>46037.664467592593</v>
      </c>
      <c r="Q62" t="s">
        <v>54</v>
      </c>
      <c r="R62">
        <v>0</v>
      </c>
      <c r="T62" t="s">
        <v>54</v>
      </c>
      <c r="U62" t="s">
        <v>54</v>
      </c>
      <c r="V62">
        <v>8241</v>
      </c>
      <c r="W62" t="s">
        <v>55</v>
      </c>
      <c r="X62" s="4"/>
      <c r="AB62" s="3"/>
      <c r="AD62" s="3"/>
      <c r="AE62" s="3"/>
      <c r="AK62" s="5"/>
    </row>
    <row r="63" spans="1:47" hidden="1" x14ac:dyDescent="0.25">
      <c r="A63" t="s">
        <v>96</v>
      </c>
      <c r="B63" s="1">
        <v>38444</v>
      </c>
      <c r="C63" t="s">
        <v>48</v>
      </c>
      <c r="D63" s="3" t="s">
        <v>49</v>
      </c>
      <c r="E63" s="2">
        <v>46037</v>
      </c>
      <c r="F63" t="s">
        <v>144</v>
      </c>
      <c r="G63" s="3" t="s">
        <v>66</v>
      </c>
      <c r="H63" s="3">
        <v>15024</v>
      </c>
      <c r="I63" s="3">
        <v>15024</v>
      </c>
      <c r="J63">
        <v>0</v>
      </c>
      <c r="K63" s="3">
        <v>15024</v>
      </c>
      <c r="L63" s="3">
        <v>2781.6</v>
      </c>
      <c r="M63" s="3">
        <v>1307.3499999999999</v>
      </c>
      <c r="N63" t="s">
        <v>106</v>
      </c>
      <c r="O63" t="s">
        <v>53</v>
      </c>
      <c r="P63" t="s">
        <v>53</v>
      </c>
      <c r="Q63" t="s">
        <v>53</v>
      </c>
      <c r="R63" t="s">
        <v>54</v>
      </c>
      <c r="S63" t="s">
        <v>54</v>
      </c>
      <c r="T63" t="s">
        <v>55</v>
      </c>
      <c r="U63">
        <v>145</v>
      </c>
      <c r="V63" t="s">
        <v>145</v>
      </c>
      <c r="W63" t="s">
        <v>146</v>
      </c>
      <c r="X63" s="4">
        <v>0</v>
      </c>
      <c r="Y63" t="s">
        <v>58</v>
      </c>
      <c r="Z63">
        <v>0</v>
      </c>
      <c r="AA63">
        <v>0</v>
      </c>
      <c r="AB63">
        <v>0</v>
      </c>
      <c r="AC63">
        <v>0</v>
      </c>
      <c r="AD63" s="3">
        <v>2781.6</v>
      </c>
      <c r="AE63" s="3">
        <v>2400</v>
      </c>
      <c r="AF63" t="s">
        <v>54</v>
      </c>
      <c r="AG63" t="s">
        <v>59</v>
      </c>
      <c r="AI63" t="s">
        <v>73</v>
      </c>
      <c r="AJ63" t="s">
        <v>73</v>
      </c>
      <c r="AK63" s="5">
        <v>46037.702175925922</v>
      </c>
      <c r="AO63" t="s">
        <v>54</v>
      </c>
      <c r="AP63">
        <v>0</v>
      </c>
      <c r="AR63" t="s">
        <v>54</v>
      </c>
      <c r="AS63" t="s">
        <v>54</v>
      </c>
      <c r="AT63">
        <v>1301</v>
      </c>
      <c r="AU63" t="s">
        <v>55</v>
      </c>
    </row>
    <row r="64" spans="1:47" hidden="1" x14ac:dyDescent="0.25">
      <c r="A64" t="s">
        <v>96</v>
      </c>
      <c r="B64" s="1">
        <v>38445</v>
      </c>
      <c r="C64" t="s">
        <v>48</v>
      </c>
      <c r="D64" t="s">
        <v>49</v>
      </c>
      <c r="E64" s="2">
        <v>46037</v>
      </c>
      <c r="F64" t="s">
        <v>144</v>
      </c>
      <c r="G64" t="s">
        <v>66</v>
      </c>
      <c r="H64" s="3">
        <v>18780</v>
      </c>
      <c r="I64" s="3">
        <v>18780</v>
      </c>
      <c r="J64">
        <v>0</v>
      </c>
      <c r="K64" s="3">
        <v>18780</v>
      </c>
      <c r="L64" s="3">
        <v>3477</v>
      </c>
      <c r="M64" s="3">
        <v>1634.19</v>
      </c>
      <c r="N64" t="s">
        <v>106</v>
      </c>
      <c r="O64" t="s">
        <v>53</v>
      </c>
      <c r="P64" t="s">
        <v>53</v>
      </c>
      <c r="Q64" t="s">
        <v>53</v>
      </c>
      <c r="R64" t="s">
        <v>54</v>
      </c>
      <c r="S64" t="s">
        <v>54</v>
      </c>
      <c r="T64" t="s">
        <v>55</v>
      </c>
      <c r="U64">
        <v>145</v>
      </c>
      <c r="V64" t="s">
        <v>145</v>
      </c>
      <c r="W64" t="s">
        <v>146</v>
      </c>
      <c r="X64" s="4">
        <v>0</v>
      </c>
      <c r="Y64" t="s">
        <v>58</v>
      </c>
      <c r="Z64">
        <v>0</v>
      </c>
      <c r="AA64">
        <v>0</v>
      </c>
      <c r="AB64">
        <v>0</v>
      </c>
      <c r="AC64">
        <v>0</v>
      </c>
      <c r="AD64" s="3">
        <v>3477</v>
      </c>
      <c r="AE64" s="3">
        <v>3000</v>
      </c>
      <c r="AF64" t="s">
        <v>54</v>
      </c>
      <c r="AG64" t="s">
        <v>59</v>
      </c>
      <c r="AI64" t="s">
        <v>73</v>
      </c>
      <c r="AJ64" t="s">
        <v>73</v>
      </c>
      <c r="AK64" s="5">
        <v>46037.702291666668</v>
      </c>
      <c r="AO64" t="s">
        <v>54</v>
      </c>
      <c r="AP64">
        <v>0</v>
      </c>
      <c r="AR64" t="s">
        <v>54</v>
      </c>
      <c r="AS64" t="s">
        <v>54</v>
      </c>
      <c r="AT64">
        <v>1301</v>
      </c>
      <c r="AU64" t="s">
        <v>55</v>
      </c>
    </row>
    <row r="65" spans="1:47" hidden="1" x14ac:dyDescent="0.25">
      <c r="A65" t="s">
        <v>81</v>
      </c>
      <c r="B65" s="1">
        <v>38446</v>
      </c>
      <c r="C65" t="s">
        <v>48</v>
      </c>
      <c r="D65" s="3" t="s">
        <v>49</v>
      </c>
      <c r="E65" s="2">
        <v>46037</v>
      </c>
      <c r="F65" t="s">
        <v>144</v>
      </c>
      <c r="G65" s="3" t="s">
        <v>66</v>
      </c>
      <c r="H65" s="3">
        <v>22536</v>
      </c>
      <c r="I65" s="3">
        <v>22536</v>
      </c>
      <c r="J65">
        <v>0</v>
      </c>
      <c r="K65" s="3">
        <v>22536</v>
      </c>
      <c r="L65" s="3">
        <v>4172.3999999999996</v>
      </c>
      <c r="M65" s="3">
        <v>1961.03</v>
      </c>
      <c r="N65" t="s">
        <v>106</v>
      </c>
      <c r="O65" t="s">
        <v>53</v>
      </c>
      <c r="P65" t="s">
        <v>53</v>
      </c>
      <c r="Q65" t="s">
        <v>53</v>
      </c>
      <c r="R65" t="s">
        <v>54</v>
      </c>
      <c r="S65" t="s">
        <v>54</v>
      </c>
      <c r="T65" t="s">
        <v>55</v>
      </c>
      <c r="U65">
        <v>145</v>
      </c>
      <c r="V65" t="s">
        <v>145</v>
      </c>
      <c r="W65" t="s">
        <v>146</v>
      </c>
      <c r="X65" s="4">
        <v>0</v>
      </c>
      <c r="Y65" t="s">
        <v>58</v>
      </c>
      <c r="Z65">
        <v>0</v>
      </c>
      <c r="AA65">
        <v>0</v>
      </c>
      <c r="AB65">
        <v>0</v>
      </c>
      <c r="AC65">
        <v>0</v>
      </c>
      <c r="AD65" s="3">
        <v>4172.3999999999996</v>
      </c>
      <c r="AE65" s="3">
        <v>3600</v>
      </c>
      <c r="AF65" t="s">
        <v>54</v>
      </c>
      <c r="AG65" t="s">
        <v>59</v>
      </c>
      <c r="AI65" t="s">
        <v>73</v>
      </c>
      <c r="AJ65" t="s">
        <v>73</v>
      </c>
      <c r="AK65" s="5">
        <v>46037.702465277776</v>
      </c>
      <c r="AO65" t="s">
        <v>54</v>
      </c>
      <c r="AP65">
        <v>0</v>
      </c>
      <c r="AR65" t="s">
        <v>54</v>
      </c>
      <c r="AS65" t="s">
        <v>54</v>
      </c>
      <c r="AT65">
        <v>1301</v>
      </c>
      <c r="AU65" t="s">
        <v>55</v>
      </c>
    </row>
    <row r="66" spans="1:47" hidden="1" x14ac:dyDescent="0.25">
      <c r="A66" t="s">
        <v>81</v>
      </c>
      <c r="B66" s="1">
        <v>38447</v>
      </c>
      <c r="C66" t="s">
        <v>48</v>
      </c>
      <c r="D66" t="s">
        <v>49</v>
      </c>
      <c r="E66" s="2">
        <v>46037</v>
      </c>
      <c r="F66" t="s">
        <v>144</v>
      </c>
      <c r="G66" s="3" t="s">
        <v>66</v>
      </c>
      <c r="H66" s="3">
        <v>26292</v>
      </c>
      <c r="I66" s="3">
        <v>26292</v>
      </c>
      <c r="J66">
        <v>0</v>
      </c>
      <c r="K66" s="3">
        <v>26292</v>
      </c>
      <c r="L66" s="3">
        <v>4867.8</v>
      </c>
      <c r="M66" s="3">
        <v>2287.87</v>
      </c>
      <c r="N66" t="s">
        <v>106</v>
      </c>
      <c r="O66" t="s">
        <v>53</v>
      </c>
      <c r="P66" t="s">
        <v>53</v>
      </c>
      <c r="Q66" t="s">
        <v>53</v>
      </c>
      <c r="R66" t="s">
        <v>54</v>
      </c>
      <c r="S66" t="s">
        <v>54</v>
      </c>
      <c r="T66" t="s">
        <v>55</v>
      </c>
      <c r="U66">
        <v>145</v>
      </c>
      <c r="V66" t="s">
        <v>145</v>
      </c>
      <c r="W66" t="s">
        <v>146</v>
      </c>
      <c r="X66" s="4">
        <v>0</v>
      </c>
      <c r="Y66" t="s">
        <v>58</v>
      </c>
      <c r="Z66" s="3">
        <v>0</v>
      </c>
      <c r="AA66">
        <v>0</v>
      </c>
      <c r="AB66" s="3">
        <v>0</v>
      </c>
      <c r="AC66">
        <v>0</v>
      </c>
      <c r="AD66" s="3">
        <v>4867.8</v>
      </c>
      <c r="AE66" s="3">
        <v>4200</v>
      </c>
      <c r="AF66" t="s">
        <v>54</v>
      </c>
      <c r="AG66" t="s">
        <v>59</v>
      </c>
      <c r="AI66" t="s">
        <v>73</v>
      </c>
      <c r="AJ66" t="s">
        <v>73</v>
      </c>
      <c r="AK66" s="5">
        <v>46037.702615740738</v>
      </c>
      <c r="AO66" t="s">
        <v>54</v>
      </c>
      <c r="AP66">
        <v>0</v>
      </c>
      <c r="AR66" t="s">
        <v>54</v>
      </c>
      <c r="AS66" t="s">
        <v>54</v>
      </c>
      <c r="AT66">
        <v>1301</v>
      </c>
      <c r="AU66" t="s">
        <v>55</v>
      </c>
    </row>
    <row r="67" spans="1:47" hidden="1" x14ac:dyDescent="0.25">
      <c r="A67" t="s">
        <v>81</v>
      </c>
      <c r="B67" s="1">
        <v>38448</v>
      </c>
      <c r="C67" t="s">
        <v>48</v>
      </c>
      <c r="D67" s="3" t="s">
        <v>49</v>
      </c>
      <c r="E67" s="2">
        <v>46037</v>
      </c>
      <c r="F67" t="s">
        <v>144</v>
      </c>
      <c r="G67" s="3" t="s">
        <v>66</v>
      </c>
      <c r="H67" s="3">
        <v>26292</v>
      </c>
      <c r="I67" s="3">
        <v>26292</v>
      </c>
      <c r="J67">
        <v>0</v>
      </c>
      <c r="K67" s="3">
        <v>26292</v>
      </c>
      <c r="L67" s="3">
        <v>4867.8</v>
      </c>
      <c r="M67" s="3">
        <v>2287.87</v>
      </c>
      <c r="N67" t="s">
        <v>106</v>
      </c>
      <c r="O67" t="s">
        <v>53</v>
      </c>
      <c r="P67" t="s">
        <v>53</v>
      </c>
      <c r="Q67" t="s">
        <v>53</v>
      </c>
      <c r="R67" t="s">
        <v>54</v>
      </c>
      <c r="S67" t="s">
        <v>54</v>
      </c>
      <c r="T67" t="s">
        <v>55</v>
      </c>
      <c r="U67">
        <v>145</v>
      </c>
      <c r="V67" t="s">
        <v>145</v>
      </c>
      <c r="W67" t="s">
        <v>146</v>
      </c>
      <c r="X67" s="4">
        <v>0</v>
      </c>
      <c r="Y67" t="s">
        <v>58</v>
      </c>
      <c r="Z67">
        <v>0</v>
      </c>
      <c r="AA67">
        <v>0</v>
      </c>
      <c r="AB67">
        <v>0</v>
      </c>
      <c r="AC67">
        <v>0</v>
      </c>
      <c r="AD67" s="3">
        <v>4867.8</v>
      </c>
      <c r="AE67" s="3">
        <v>4200</v>
      </c>
      <c r="AF67" t="s">
        <v>54</v>
      </c>
      <c r="AG67" t="s">
        <v>59</v>
      </c>
      <c r="AI67" t="s">
        <v>73</v>
      </c>
      <c r="AJ67" t="s">
        <v>73</v>
      </c>
      <c r="AK67" s="5">
        <v>46037.702766203707</v>
      </c>
      <c r="AO67" t="s">
        <v>54</v>
      </c>
      <c r="AP67">
        <v>0</v>
      </c>
      <c r="AR67" t="s">
        <v>54</v>
      </c>
      <c r="AS67" t="s">
        <v>54</v>
      </c>
      <c r="AT67">
        <v>1301</v>
      </c>
      <c r="AU67" t="s">
        <v>55</v>
      </c>
    </row>
    <row r="68" spans="1:47" hidden="1" x14ac:dyDescent="0.25">
      <c r="A68" t="s">
        <v>81</v>
      </c>
      <c r="B68" s="1">
        <v>38449</v>
      </c>
      <c r="C68" t="s">
        <v>48</v>
      </c>
      <c r="D68" t="s">
        <v>49</v>
      </c>
      <c r="E68" s="2">
        <v>46037</v>
      </c>
      <c r="F68" t="s">
        <v>144</v>
      </c>
      <c r="G68" s="3" t="s">
        <v>66</v>
      </c>
      <c r="H68" s="3">
        <v>26292</v>
      </c>
      <c r="I68" s="3">
        <v>26292</v>
      </c>
      <c r="J68">
        <v>0</v>
      </c>
      <c r="K68" s="3">
        <v>26292</v>
      </c>
      <c r="L68" s="3">
        <v>4867.8</v>
      </c>
      <c r="M68" s="3">
        <v>2287.87</v>
      </c>
      <c r="N68" t="s">
        <v>106</v>
      </c>
      <c r="O68" t="s">
        <v>53</v>
      </c>
      <c r="P68" t="s">
        <v>53</v>
      </c>
      <c r="Q68" t="s">
        <v>53</v>
      </c>
      <c r="R68" t="s">
        <v>54</v>
      </c>
      <c r="S68" t="s">
        <v>54</v>
      </c>
      <c r="T68" t="s">
        <v>55</v>
      </c>
      <c r="U68">
        <v>145</v>
      </c>
      <c r="V68" t="s">
        <v>145</v>
      </c>
      <c r="W68" t="s">
        <v>146</v>
      </c>
      <c r="X68" s="4">
        <v>0</v>
      </c>
      <c r="Y68" t="s">
        <v>58</v>
      </c>
      <c r="Z68">
        <v>0</v>
      </c>
      <c r="AA68">
        <v>0</v>
      </c>
      <c r="AB68">
        <v>0</v>
      </c>
      <c r="AC68">
        <v>0</v>
      </c>
      <c r="AD68" s="3">
        <v>4867.8</v>
      </c>
      <c r="AE68" s="3">
        <v>4200</v>
      </c>
      <c r="AF68" t="s">
        <v>54</v>
      </c>
      <c r="AG68" t="s">
        <v>59</v>
      </c>
      <c r="AI68" t="s">
        <v>73</v>
      </c>
      <c r="AJ68" t="s">
        <v>73</v>
      </c>
      <c r="AK68" s="5">
        <v>46037.702893518515</v>
      </c>
      <c r="AO68" t="s">
        <v>54</v>
      </c>
      <c r="AP68">
        <v>0</v>
      </c>
      <c r="AR68" t="s">
        <v>54</v>
      </c>
      <c r="AS68" t="s">
        <v>54</v>
      </c>
      <c r="AT68">
        <v>1301</v>
      </c>
      <c r="AU68" t="s">
        <v>55</v>
      </c>
    </row>
    <row r="69" spans="1:47" hidden="1" x14ac:dyDescent="0.25">
      <c r="A69" t="s">
        <v>47</v>
      </c>
      <c r="B69" s="1">
        <v>38450</v>
      </c>
      <c r="C69" t="s">
        <v>48</v>
      </c>
      <c r="D69" t="s">
        <v>49</v>
      </c>
      <c r="E69" s="2">
        <v>46037</v>
      </c>
      <c r="F69" t="s">
        <v>88</v>
      </c>
      <c r="G69" t="s">
        <v>89</v>
      </c>
      <c r="H69" s="3">
        <v>2105</v>
      </c>
      <c r="I69" s="3">
        <v>2105</v>
      </c>
      <c r="J69">
        <v>0</v>
      </c>
      <c r="K69" s="3">
        <v>2420.75</v>
      </c>
      <c r="L69" s="3">
        <v>473</v>
      </c>
      <c r="M69" s="3">
        <v>173.59</v>
      </c>
      <c r="N69" t="s">
        <v>84</v>
      </c>
      <c r="O69" t="s">
        <v>53</v>
      </c>
      <c r="P69" t="s">
        <v>53</v>
      </c>
      <c r="Q69" t="s">
        <v>53</v>
      </c>
      <c r="R69" t="s">
        <v>54</v>
      </c>
      <c r="S69" t="s">
        <v>54</v>
      </c>
      <c r="T69" t="s">
        <v>55</v>
      </c>
      <c r="U69">
        <v>9</v>
      </c>
      <c r="V69" t="s">
        <v>71</v>
      </c>
      <c r="W69" t="s">
        <v>90</v>
      </c>
      <c r="X69" s="4">
        <v>0</v>
      </c>
      <c r="Y69" t="s">
        <v>62</v>
      </c>
      <c r="AD69" s="3"/>
      <c r="AE69" s="3"/>
      <c r="AK69" s="5"/>
    </row>
    <row r="70" spans="1:47" hidden="1" x14ac:dyDescent="0.25">
      <c r="A70" t="s">
        <v>63</v>
      </c>
      <c r="B70" s="1">
        <v>473</v>
      </c>
      <c r="C70">
        <v>0</v>
      </c>
      <c r="D70" s="3">
        <v>0</v>
      </c>
      <c r="E70" s="2">
        <v>0</v>
      </c>
      <c r="F70">
        <v>0</v>
      </c>
      <c r="G70" s="3">
        <v>500</v>
      </c>
      <c r="H70" s="3" t="s">
        <v>54</v>
      </c>
      <c r="I70" s="3" t="s">
        <v>91</v>
      </c>
      <c r="K70" s="3" t="s">
        <v>73</v>
      </c>
      <c r="L70" s="3" t="s">
        <v>73</v>
      </c>
      <c r="M70" s="3">
        <v>46041.431597222225</v>
      </c>
      <c r="Q70" t="s">
        <v>54</v>
      </c>
      <c r="R70">
        <v>0</v>
      </c>
      <c r="T70" t="s">
        <v>54</v>
      </c>
      <c r="U70" t="s">
        <v>54</v>
      </c>
      <c r="V70">
        <v>2291</v>
      </c>
      <c r="W70" t="s">
        <v>55</v>
      </c>
      <c r="X70" s="4"/>
      <c r="AB70" s="3"/>
      <c r="AE70" s="3"/>
      <c r="AK70" s="5"/>
    </row>
    <row r="71" spans="1:47" hidden="1" x14ac:dyDescent="0.25">
      <c r="A71" t="s">
        <v>47</v>
      </c>
      <c r="B71" s="1">
        <v>38451</v>
      </c>
      <c r="C71" t="s">
        <v>48</v>
      </c>
      <c r="D71" t="s">
        <v>49</v>
      </c>
      <c r="E71" s="2">
        <v>46038</v>
      </c>
      <c r="F71" s="3" t="s">
        <v>147</v>
      </c>
      <c r="G71" s="3" t="s">
        <v>89</v>
      </c>
      <c r="H71" s="3">
        <v>33350</v>
      </c>
      <c r="I71" s="3">
        <v>33350</v>
      </c>
      <c r="J71">
        <v>0</v>
      </c>
      <c r="K71" s="3">
        <v>38352.5</v>
      </c>
      <c r="L71" s="3">
        <v>5077.5</v>
      </c>
      <c r="M71" s="3">
        <v>3148.05</v>
      </c>
      <c r="N71" t="s">
        <v>52</v>
      </c>
      <c r="O71" t="s">
        <v>53</v>
      </c>
      <c r="P71" t="s">
        <v>53</v>
      </c>
      <c r="Q71" t="s">
        <v>53</v>
      </c>
      <c r="R71" t="s">
        <v>54</v>
      </c>
      <c r="S71" t="s">
        <v>54</v>
      </c>
      <c r="T71" t="s">
        <v>55</v>
      </c>
      <c r="U71">
        <v>126</v>
      </c>
      <c r="V71" t="s">
        <v>56</v>
      </c>
      <c r="W71" t="s">
        <v>95</v>
      </c>
      <c r="X71" s="4">
        <v>0</v>
      </c>
      <c r="Y71" t="s">
        <v>62</v>
      </c>
      <c r="AD71" s="3"/>
      <c r="AE71" s="3"/>
      <c r="AK71" s="5"/>
    </row>
    <row r="72" spans="1:47" hidden="1" x14ac:dyDescent="0.25">
      <c r="A72" t="s">
        <v>63</v>
      </c>
      <c r="B72" s="1">
        <v>0</v>
      </c>
      <c r="C72">
        <v>0</v>
      </c>
      <c r="D72" s="3">
        <v>5077.5</v>
      </c>
      <c r="E72" s="2">
        <v>0</v>
      </c>
      <c r="F72">
        <v>0</v>
      </c>
      <c r="G72" s="3">
        <v>2500</v>
      </c>
      <c r="H72" s="3" t="s">
        <v>54</v>
      </c>
      <c r="I72" s="3" t="s">
        <v>59</v>
      </c>
      <c r="J72" t="s">
        <v>148</v>
      </c>
      <c r="K72" s="3" t="s">
        <v>60</v>
      </c>
      <c r="L72" s="3" t="s">
        <v>60</v>
      </c>
      <c r="M72" s="3">
        <v>46038.656400462962</v>
      </c>
      <c r="Q72" t="s">
        <v>54</v>
      </c>
      <c r="R72">
        <v>0</v>
      </c>
      <c r="T72" t="s">
        <v>54</v>
      </c>
      <c r="U72" t="s">
        <v>54</v>
      </c>
      <c r="V72">
        <v>8478</v>
      </c>
      <c r="W72" t="s">
        <v>55</v>
      </c>
      <c r="X72" s="4"/>
      <c r="AB72" s="3"/>
      <c r="AK72" s="5"/>
    </row>
    <row r="73" spans="1:47" hidden="1" x14ac:dyDescent="0.25">
      <c r="A73" t="s">
        <v>47</v>
      </c>
      <c r="B73" s="1">
        <v>38452</v>
      </c>
      <c r="C73" t="s">
        <v>48</v>
      </c>
      <c r="D73" t="s">
        <v>49</v>
      </c>
      <c r="E73" s="2">
        <v>46038</v>
      </c>
      <c r="F73" t="s">
        <v>147</v>
      </c>
      <c r="G73" t="s">
        <v>89</v>
      </c>
      <c r="H73" s="3">
        <v>33350</v>
      </c>
      <c r="I73" s="3">
        <v>33350</v>
      </c>
      <c r="J73">
        <v>0</v>
      </c>
      <c r="K73" s="3">
        <v>38352.5</v>
      </c>
      <c r="L73" s="3">
        <v>5077.5</v>
      </c>
      <c r="M73" s="3">
        <v>3148.05</v>
      </c>
      <c r="N73" t="s">
        <v>52</v>
      </c>
      <c r="O73" t="s">
        <v>53</v>
      </c>
      <c r="P73" t="s">
        <v>53</v>
      </c>
      <c r="Q73" t="s">
        <v>53</v>
      </c>
      <c r="R73" t="s">
        <v>54</v>
      </c>
      <c r="S73" t="s">
        <v>54</v>
      </c>
      <c r="T73" t="s">
        <v>55</v>
      </c>
      <c r="U73">
        <v>126</v>
      </c>
      <c r="V73" t="s">
        <v>56</v>
      </c>
      <c r="W73" t="s">
        <v>95</v>
      </c>
      <c r="X73" s="4">
        <v>0</v>
      </c>
      <c r="Y73" t="s">
        <v>62</v>
      </c>
      <c r="AB73" s="3"/>
      <c r="AD73" s="3"/>
      <c r="AE73" s="3"/>
      <c r="AK73" s="5"/>
    </row>
    <row r="74" spans="1:47" hidden="1" x14ac:dyDescent="0.25">
      <c r="A74" t="s">
        <v>63</v>
      </c>
      <c r="B74" s="3">
        <v>0</v>
      </c>
      <c r="C74">
        <v>0</v>
      </c>
      <c r="D74" s="3">
        <v>5077.5</v>
      </c>
      <c r="E74" s="2">
        <v>0</v>
      </c>
      <c r="F74">
        <v>0</v>
      </c>
      <c r="G74" s="3">
        <v>2500</v>
      </c>
      <c r="H74" s="3" t="s">
        <v>54</v>
      </c>
      <c r="I74" s="3" t="s">
        <v>59</v>
      </c>
      <c r="J74" t="s">
        <v>148</v>
      </c>
      <c r="K74" s="3" t="s">
        <v>60</v>
      </c>
      <c r="L74" s="3" t="s">
        <v>60</v>
      </c>
      <c r="M74" s="3">
        <v>46038.658368055556</v>
      </c>
      <c r="Q74" t="s">
        <v>54</v>
      </c>
      <c r="R74">
        <v>0</v>
      </c>
      <c r="T74" t="s">
        <v>54</v>
      </c>
      <c r="U74" t="s">
        <v>54</v>
      </c>
      <c r="V74">
        <v>8478</v>
      </c>
      <c r="W74" t="s">
        <v>55</v>
      </c>
      <c r="X74" s="4"/>
      <c r="Z74" s="3"/>
      <c r="AD74" s="3"/>
      <c r="AE74" s="3"/>
      <c r="AK74" s="5"/>
    </row>
    <row r="75" spans="1:47" hidden="1" x14ac:dyDescent="0.25">
      <c r="A75" t="s">
        <v>47</v>
      </c>
      <c r="B75" s="1">
        <v>38453</v>
      </c>
      <c r="C75" t="s">
        <v>48</v>
      </c>
      <c r="D75" t="s">
        <v>49</v>
      </c>
      <c r="E75" s="2">
        <v>46038</v>
      </c>
      <c r="F75" t="s">
        <v>147</v>
      </c>
      <c r="G75" t="s">
        <v>89</v>
      </c>
      <c r="H75" s="3">
        <v>33350</v>
      </c>
      <c r="I75" s="3">
        <v>33350</v>
      </c>
      <c r="J75">
        <v>0</v>
      </c>
      <c r="K75" s="3">
        <v>38352.5</v>
      </c>
      <c r="L75" s="3">
        <v>5077.5</v>
      </c>
      <c r="M75" s="3">
        <v>3148.05</v>
      </c>
      <c r="N75" t="s">
        <v>52</v>
      </c>
      <c r="O75" t="s">
        <v>53</v>
      </c>
      <c r="P75" t="s">
        <v>53</v>
      </c>
      <c r="Q75" t="s">
        <v>53</v>
      </c>
      <c r="R75" t="s">
        <v>54</v>
      </c>
      <c r="S75" t="s">
        <v>54</v>
      </c>
      <c r="T75" t="s">
        <v>55</v>
      </c>
      <c r="U75">
        <v>126</v>
      </c>
      <c r="V75" t="s">
        <v>56</v>
      </c>
      <c r="W75" t="s">
        <v>95</v>
      </c>
      <c r="X75" s="4">
        <v>0</v>
      </c>
      <c r="Y75" t="s">
        <v>62</v>
      </c>
      <c r="Z75" s="3"/>
      <c r="AD75" s="3"/>
      <c r="AE75" s="3"/>
      <c r="AK75" s="5"/>
    </row>
    <row r="76" spans="1:47" hidden="1" x14ac:dyDescent="0.25">
      <c r="A76" t="s">
        <v>63</v>
      </c>
      <c r="B76" s="1">
        <v>0</v>
      </c>
      <c r="C76">
        <v>0</v>
      </c>
      <c r="D76" s="3">
        <v>5077.5</v>
      </c>
      <c r="E76" s="2">
        <v>0</v>
      </c>
      <c r="F76">
        <v>0</v>
      </c>
      <c r="G76" s="3">
        <v>2500</v>
      </c>
      <c r="H76" s="3" t="s">
        <v>54</v>
      </c>
      <c r="I76" s="3" t="s">
        <v>59</v>
      </c>
      <c r="J76" t="s">
        <v>148</v>
      </c>
      <c r="K76" s="3" t="s">
        <v>60</v>
      </c>
      <c r="L76" s="3" t="s">
        <v>60</v>
      </c>
      <c r="M76" s="3">
        <v>46038.659675925926</v>
      </c>
      <c r="Q76" t="s">
        <v>54</v>
      </c>
      <c r="R76">
        <v>0</v>
      </c>
      <c r="T76" t="s">
        <v>54</v>
      </c>
      <c r="U76" t="s">
        <v>54</v>
      </c>
      <c r="V76">
        <v>8478</v>
      </c>
      <c r="W76" t="s">
        <v>55</v>
      </c>
      <c r="X76" s="4"/>
      <c r="Z76" s="3"/>
      <c r="AD76" s="3"/>
      <c r="AE76" s="3"/>
      <c r="AK76" s="5"/>
    </row>
    <row r="77" spans="1:47" hidden="1" x14ac:dyDescent="0.25">
      <c r="A77" t="s">
        <v>47</v>
      </c>
      <c r="B77" s="3">
        <v>38454</v>
      </c>
      <c r="C77" t="s">
        <v>48</v>
      </c>
      <c r="D77" t="s">
        <v>49</v>
      </c>
      <c r="E77" s="2">
        <v>46038</v>
      </c>
      <c r="F77" s="3" t="s">
        <v>147</v>
      </c>
      <c r="G77" s="3" t="s">
        <v>89</v>
      </c>
      <c r="H77" s="3">
        <v>33350</v>
      </c>
      <c r="I77" s="3">
        <v>33350</v>
      </c>
      <c r="J77">
        <v>0</v>
      </c>
      <c r="K77" s="3">
        <v>38352.5</v>
      </c>
      <c r="L77" s="3">
        <v>5077.5</v>
      </c>
      <c r="M77" s="3">
        <v>3148.05</v>
      </c>
      <c r="N77" t="s">
        <v>52</v>
      </c>
      <c r="O77" t="s">
        <v>53</v>
      </c>
      <c r="P77" t="s">
        <v>53</v>
      </c>
      <c r="Q77" t="s">
        <v>53</v>
      </c>
      <c r="R77" t="s">
        <v>54</v>
      </c>
      <c r="S77" t="s">
        <v>54</v>
      </c>
      <c r="T77" t="s">
        <v>55</v>
      </c>
      <c r="U77">
        <v>126</v>
      </c>
      <c r="V77" t="s">
        <v>56</v>
      </c>
      <c r="W77" t="s">
        <v>95</v>
      </c>
      <c r="X77" s="4">
        <v>0</v>
      </c>
      <c r="Y77" t="s">
        <v>62</v>
      </c>
      <c r="AD77" s="3"/>
      <c r="AE77" s="3"/>
      <c r="AK77" s="5"/>
    </row>
    <row r="78" spans="1:47" hidden="1" x14ac:dyDescent="0.25">
      <c r="A78" t="s">
        <v>63</v>
      </c>
      <c r="B78" s="1">
        <v>0</v>
      </c>
      <c r="C78">
        <v>0</v>
      </c>
      <c r="D78" s="3">
        <v>5077.5</v>
      </c>
      <c r="E78" s="2">
        <v>0</v>
      </c>
      <c r="F78">
        <v>0</v>
      </c>
      <c r="G78" s="3">
        <v>2500</v>
      </c>
      <c r="H78" s="3" t="s">
        <v>54</v>
      </c>
      <c r="I78" s="3" t="s">
        <v>59</v>
      </c>
      <c r="J78" t="s">
        <v>148</v>
      </c>
      <c r="K78" s="3" t="s">
        <v>60</v>
      </c>
      <c r="L78" s="3" t="s">
        <v>60</v>
      </c>
      <c r="M78" s="3">
        <v>46038.661157407405</v>
      </c>
      <c r="Q78" t="s">
        <v>54</v>
      </c>
      <c r="R78">
        <v>0</v>
      </c>
      <c r="T78" t="s">
        <v>54</v>
      </c>
      <c r="U78" t="s">
        <v>54</v>
      </c>
      <c r="V78">
        <v>8478</v>
      </c>
      <c r="W78" t="s">
        <v>55</v>
      </c>
      <c r="X78" s="4"/>
      <c r="AD78" s="3"/>
      <c r="AE78" s="3"/>
      <c r="AK78" s="5"/>
    </row>
    <row r="79" spans="1:47" hidden="1" x14ac:dyDescent="0.25">
      <c r="A79" t="s">
        <v>96</v>
      </c>
      <c r="B79" s="1">
        <v>38455</v>
      </c>
      <c r="C79" t="s">
        <v>48</v>
      </c>
      <c r="D79" t="s">
        <v>49</v>
      </c>
      <c r="E79" s="2">
        <v>46041</v>
      </c>
      <c r="F79" s="3" t="s">
        <v>141</v>
      </c>
      <c r="G79" s="3" t="s">
        <v>94</v>
      </c>
      <c r="H79" s="3">
        <v>1962.5</v>
      </c>
      <c r="I79" s="3">
        <v>1962.5</v>
      </c>
      <c r="J79">
        <v>0</v>
      </c>
      <c r="K79" s="3">
        <v>1962.5</v>
      </c>
      <c r="L79" s="3">
        <v>525</v>
      </c>
      <c r="M79" s="3">
        <v>152.25</v>
      </c>
      <c r="N79" t="s">
        <v>106</v>
      </c>
      <c r="O79" t="s">
        <v>53</v>
      </c>
      <c r="P79" t="s">
        <v>53</v>
      </c>
      <c r="Q79" t="s">
        <v>53</v>
      </c>
      <c r="R79" t="s">
        <v>54</v>
      </c>
      <c r="S79" t="s">
        <v>54</v>
      </c>
      <c r="T79" t="s">
        <v>55</v>
      </c>
      <c r="U79">
        <v>145</v>
      </c>
      <c r="W79" t="s">
        <v>142</v>
      </c>
      <c r="X79" s="4">
        <v>0</v>
      </c>
      <c r="Y79" t="s">
        <v>62</v>
      </c>
      <c r="AB79" s="3"/>
      <c r="AD79" s="3"/>
      <c r="AE79" s="3"/>
      <c r="AK79" s="5"/>
    </row>
    <row r="80" spans="1:47" hidden="1" x14ac:dyDescent="0.25">
      <c r="A80" t="s">
        <v>63</v>
      </c>
      <c r="B80" s="1">
        <v>525</v>
      </c>
      <c r="C80">
        <v>0</v>
      </c>
      <c r="D80" s="3">
        <v>0</v>
      </c>
      <c r="E80" s="2">
        <v>0</v>
      </c>
      <c r="F80">
        <v>0</v>
      </c>
      <c r="G80" s="3">
        <v>1250</v>
      </c>
      <c r="H80" s="3" t="s">
        <v>54</v>
      </c>
      <c r="I80" s="3" t="s">
        <v>59</v>
      </c>
      <c r="J80" t="s">
        <v>143</v>
      </c>
      <c r="K80" s="3" t="s">
        <v>73</v>
      </c>
      <c r="L80" s="3" t="s">
        <v>73</v>
      </c>
      <c r="M80" s="3">
        <v>46041.456805555557</v>
      </c>
      <c r="Q80" t="s">
        <v>54</v>
      </c>
      <c r="R80">
        <v>0</v>
      </c>
      <c r="T80" t="s">
        <v>54</v>
      </c>
      <c r="U80" t="s">
        <v>54</v>
      </c>
      <c r="V80">
        <v>8241</v>
      </c>
      <c r="W80" t="s">
        <v>55</v>
      </c>
      <c r="X80" s="4"/>
      <c r="Z80" s="3"/>
      <c r="AD80" s="3"/>
      <c r="AE80" s="3"/>
      <c r="AK80" s="5"/>
    </row>
    <row r="81" spans="1:47" hidden="1" x14ac:dyDescent="0.25">
      <c r="A81" t="s">
        <v>96</v>
      </c>
      <c r="B81" s="1">
        <v>38456</v>
      </c>
      <c r="C81" t="s">
        <v>48</v>
      </c>
      <c r="D81" t="s">
        <v>49</v>
      </c>
      <c r="E81" s="2">
        <v>46041</v>
      </c>
      <c r="F81" t="s">
        <v>141</v>
      </c>
      <c r="G81" s="3" t="s">
        <v>94</v>
      </c>
      <c r="H81" s="3">
        <v>1962.5</v>
      </c>
      <c r="I81" s="3">
        <v>1962.5</v>
      </c>
      <c r="J81">
        <v>0</v>
      </c>
      <c r="K81" s="3">
        <v>1962.5</v>
      </c>
      <c r="L81" s="3">
        <v>525</v>
      </c>
      <c r="M81" s="3">
        <v>152.25</v>
      </c>
      <c r="N81" t="s">
        <v>106</v>
      </c>
      <c r="O81" t="s">
        <v>53</v>
      </c>
      <c r="P81" t="s">
        <v>53</v>
      </c>
      <c r="Q81" t="s">
        <v>53</v>
      </c>
      <c r="R81" t="s">
        <v>54</v>
      </c>
      <c r="S81" t="s">
        <v>54</v>
      </c>
      <c r="T81" t="s">
        <v>55</v>
      </c>
      <c r="U81">
        <v>145</v>
      </c>
      <c r="W81" t="s">
        <v>142</v>
      </c>
      <c r="X81" s="4">
        <v>0</v>
      </c>
      <c r="Y81" t="s">
        <v>62</v>
      </c>
      <c r="AB81" s="3"/>
      <c r="AD81" s="3"/>
      <c r="AE81" s="3"/>
      <c r="AK81" s="5"/>
    </row>
    <row r="82" spans="1:47" hidden="1" x14ac:dyDescent="0.25">
      <c r="A82" t="s">
        <v>63</v>
      </c>
      <c r="B82" s="1">
        <v>525</v>
      </c>
      <c r="C82">
        <v>0</v>
      </c>
      <c r="D82">
        <v>0</v>
      </c>
      <c r="E82" s="2">
        <v>0</v>
      </c>
      <c r="F82">
        <v>0</v>
      </c>
      <c r="G82" s="3">
        <v>1250</v>
      </c>
      <c r="H82" s="3" t="s">
        <v>54</v>
      </c>
      <c r="I82" s="3" t="s">
        <v>59</v>
      </c>
      <c r="J82" t="s">
        <v>143</v>
      </c>
      <c r="K82" s="3" t="s">
        <v>73</v>
      </c>
      <c r="L82" s="3" t="s">
        <v>73</v>
      </c>
      <c r="M82" s="3">
        <v>46041.456990740742</v>
      </c>
      <c r="Q82" t="s">
        <v>54</v>
      </c>
      <c r="R82">
        <v>0</v>
      </c>
      <c r="T82" t="s">
        <v>54</v>
      </c>
      <c r="U82" t="s">
        <v>54</v>
      </c>
      <c r="V82">
        <v>8241</v>
      </c>
      <c r="W82" t="s">
        <v>55</v>
      </c>
      <c r="X82" s="4"/>
      <c r="Z82" s="3"/>
      <c r="AB82" s="3"/>
      <c r="AD82" s="3"/>
      <c r="AE82" s="3"/>
      <c r="AK82" s="5"/>
    </row>
    <row r="83" spans="1:47" hidden="1" x14ac:dyDescent="0.25">
      <c r="A83" t="s">
        <v>47</v>
      </c>
      <c r="B83" s="1">
        <v>38457</v>
      </c>
      <c r="C83" t="s">
        <v>48</v>
      </c>
      <c r="D83" t="s">
        <v>49</v>
      </c>
      <c r="E83" s="2">
        <v>46041</v>
      </c>
      <c r="F83" t="s">
        <v>149</v>
      </c>
      <c r="G83" s="3" t="s">
        <v>66</v>
      </c>
      <c r="H83" s="3">
        <v>333</v>
      </c>
      <c r="I83" s="3">
        <v>333</v>
      </c>
      <c r="J83">
        <v>0</v>
      </c>
      <c r="K83" s="3">
        <v>382.95</v>
      </c>
      <c r="L83" s="3">
        <v>83.4</v>
      </c>
      <c r="M83" s="3">
        <v>29.19</v>
      </c>
      <c r="N83" t="s">
        <v>84</v>
      </c>
      <c r="O83" t="s">
        <v>53</v>
      </c>
      <c r="P83" t="s">
        <v>53</v>
      </c>
      <c r="Q83" t="s">
        <v>53</v>
      </c>
      <c r="R83" t="s">
        <v>54</v>
      </c>
      <c r="S83" t="s">
        <v>54</v>
      </c>
      <c r="T83" t="s">
        <v>55</v>
      </c>
      <c r="U83">
        <v>9</v>
      </c>
      <c r="V83" t="s">
        <v>71</v>
      </c>
      <c r="W83" t="s">
        <v>57</v>
      </c>
      <c r="X83" s="4">
        <v>0</v>
      </c>
      <c r="Y83" t="s">
        <v>58</v>
      </c>
      <c r="Z83">
        <v>83.4</v>
      </c>
      <c r="AA83">
        <v>0</v>
      </c>
      <c r="AB83" s="3">
        <v>0</v>
      </c>
      <c r="AC83">
        <v>0</v>
      </c>
      <c r="AD83" s="3">
        <v>0</v>
      </c>
      <c r="AE83" s="3">
        <v>300</v>
      </c>
      <c r="AF83" t="s">
        <v>54</v>
      </c>
      <c r="AG83" t="s">
        <v>59</v>
      </c>
      <c r="AI83" t="s">
        <v>73</v>
      </c>
      <c r="AJ83" t="s">
        <v>73</v>
      </c>
      <c r="AK83" s="5">
        <v>46041.456504629627</v>
      </c>
      <c r="AO83" t="s">
        <v>54</v>
      </c>
      <c r="AP83">
        <v>0</v>
      </c>
      <c r="AR83" t="s">
        <v>54</v>
      </c>
      <c r="AS83" t="s">
        <v>54</v>
      </c>
      <c r="AT83">
        <v>1009</v>
      </c>
      <c r="AU83" t="s">
        <v>55</v>
      </c>
    </row>
    <row r="84" spans="1:47" hidden="1" x14ac:dyDescent="0.25">
      <c r="A84" t="s">
        <v>47</v>
      </c>
      <c r="B84" s="1">
        <v>38459</v>
      </c>
      <c r="C84" t="s">
        <v>48</v>
      </c>
      <c r="D84" t="s">
        <v>49</v>
      </c>
      <c r="E84" s="2">
        <v>46041</v>
      </c>
      <c r="F84" t="s">
        <v>149</v>
      </c>
      <c r="G84" t="s">
        <v>66</v>
      </c>
      <c r="H84" s="3">
        <v>333</v>
      </c>
      <c r="I84" s="3">
        <v>333</v>
      </c>
      <c r="J84">
        <v>0</v>
      </c>
      <c r="K84" s="3">
        <v>382.95</v>
      </c>
      <c r="L84" s="3">
        <v>83.4</v>
      </c>
      <c r="M84" s="3">
        <v>29.19</v>
      </c>
      <c r="N84" t="s">
        <v>84</v>
      </c>
      <c r="O84" t="s">
        <v>53</v>
      </c>
      <c r="P84" t="s">
        <v>53</v>
      </c>
      <c r="Q84" t="s">
        <v>53</v>
      </c>
      <c r="R84" t="s">
        <v>54</v>
      </c>
      <c r="S84" t="s">
        <v>54</v>
      </c>
      <c r="T84" t="s">
        <v>55</v>
      </c>
      <c r="U84">
        <v>9</v>
      </c>
      <c r="V84" t="s">
        <v>71</v>
      </c>
      <c r="W84" t="s">
        <v>57</v>
      </c>
      <c r="X84" s="4">
        <v>0</v>
      </c>
      <c r="Y84" t="s">
        <v>58</v>
      </c>
      <c r="Z84">
        <v>83.4</v>
      </c>
      <c r="AA84">
        <v>0</v>
      </c>
      <c r="AB84">
        <v>0</v>
      </c>
      <c r="AC84">
        <v>0</v>
      </c>
      <c r="AD84">
        <v>0</v>
      </c>
      <c r="AE84">
        <v>300</v>
      </c>
      <c r="AF84" t="s">
        <v>54</v>
      </c>
      <c r="AG84" t="s">
        <v>59</v>
      </c>
      <c r="AI84" t="s">
        <v>73</v>
      </c>
      <c r="AJ84" t="s">
        <v>73</v>
      </c>
      <c r="AK84" s="5">
        <v>46041.456585648149</v>
      </c>
      <c r="AO84" t="s">
        <v>54</v>
      </c>
      <c r="AP84">
        <v>0</v>
      </c>
      <c r="AR84" t="s">
        <v>54</v>
      </c>
      <c r="AS84" t="s">
        <v>54</v>
      </c>
      <c r="AT84">
        <v>1009</v>
      </c>
      <c r="AU84" t="s">
        <v>55</v>
      </c>
    </row>
    <row r="85" spans="1:47" hidden="1" x14ac:dyDescent="0.25">
      <c r="A85" t="s">
        <v>47</v>
      </c>
      <c r="B85" s="1">
        <v>38460</v>
      </c>
      <c r="C85" t="s">
        <v>48</v>
      </c>
      <c r="D85" t="s">
        <v>49</v>
      </c>
      <c r="E85" s="2">
        <v>46041</v>
      </c>
      <c r="F85" t="s">
        <v>68</v>
      </c>
      <c r="G85" t="s">
        <v>69</v>
      </c>
      <c r="H85" s="3">
        <v>11212</v>
      </c>
      <c r="I85" s="3">
        <v>11212</v>
      </c>
      <c r="J85">
        <v>0</v>
      </c>
      <c r="K85" s="3">
        <v>12893.8</v>
      </c>
      <c r="L85" s="3">
        <v>1642</v>
      </c>
      <c r="M85" s="3">
        <v>778.99</v>
      </c>
      <c r="N85" t="s">
        <v>70</v>
      </c>
      <c r="O85" t="s">
        <v>53</v>
      </c>
      <c r="P85" t="s">
        <v>53</v>
      </c>
      <c r="Q85" t="s">
        <v>53</v>
      </c>
      <c r="R85" t="s">
        <v>54</v>
      </c>
      <c r="S85" t="s">
        <v>54</v>
      </c>
      <c r="T85" t="s">
        <v>55</v>
      </c>
      <c r="U85">
        <v>76</v>
      </c>
      <c r="V85" t="s">
        <v>71</v>
      </c>
      <c r="W85" t="s">
        <v>72</v>
      </c>
      <c r="X85" s="4">
        <v>0</v>
      </c>
      <c r="Y85" t="s">
        <v>62</v>
      </c>
      <c r="Z85" s="3"/>
      <c r="AB85" s="3"/>
      <c r="AE85" s="3"/>
      <c r="AK85" s="5"/>
    </row>
    <row r="86" spans="1:47" hidden="1" x14ac:dyDescent="0.25">
      <c r="A86" t="s">
        <v>63</v>
      </c>
      <c r="B86" s="3">
        <v>512.79999999999995</v>
      </c>
      <c r="C86">
        <v>0</v>
      </c>
      <c r="D86">
        <v>0</v>
      </c>
      <c r="E86" s="2">
        <v>0</v>
      </c>
      <c r="F86" s="3">
        <v>1129.2</v>
      </c>
      <c r="G86" s="3">
        <v>1400</v>
      </c>
      <c r="H86" s="3" t="s">
        <v>54</v>
      </c>
      <c r="I86" s="3" t="s">
        <v>59</v>
      </c>
      <c r="K86" s="3" t="s">
        <v>73</v>
      </c>
      <c r="L86" s="3" t="s">
        <v>73</v>
      </c>
      <c r="M86" s="3">
        <v>46041.456666666665</v>
      </c>
      <c r="Q86" t="s">
        <v>54</v>
      </c>
      <c r="R86">
        <v>0</v>
      </c>
      <c r="T86" t="s">
        <v>54</v>
      </c>
      <c r="U86" t="s">
        <v>54</v>
      </c>
      <c r="V86">
        <v>139</v>
      </c>
      <c r="W86" t="s">
        <v>55</v>
      </c>
      <c r="X86" s="4"/>
      <c r="AK86" s="5"/>
    </row>
    <row r="87" spans="1:47" hidden="1" x14ac:dyDescent="0.25">
      <c r="A87" t="s">
        <v>96</v>
      </c>
      <c r="B87" s="1">
        <v>38461</v>
      </c>
      <c r="C87" t="s">
        <v>48</v>
      </c>
      <c r="D87" t="s">
        <v>49</v>
      </c>
      <c r="E87" s="2">
        <v>46041</v>
      </c>
      <c r="F87" t="s">
        <v>150</v>
      </c>
      <c r="G87" s="3" t="s">
        <v>151</v>
      </c>
      <c r="H87" s="3">
        <v>9384</v>
      </c>
      <c r="I87" s="3">
        <v>9384</v>
      </c>
      <c r="J87">
        <v>0</v>
      </c>
      <c r="K87" s="3">
        <v>9384</v>
      </c>
      <c r="L87" s="3">
        <v>1102.4000000000001</v>
      </c>
      <c r="M87" s="3">
        <v>655.93</v>
      </c>
      <c r="N87" t="s">
        <v>52</v>
      </c>
      <c r="O87" t="s">
        <v>53</v>
      </c>
      <c r="P87" t="s">
        <v>53</v>
      </c>
      <c r="Q87" t="s">
        <v>53</v>
      </c>
      <c r="R87" t="s">
        <v>54</v>
      </c>
      <c r="S87" t="s">
        <v>54</v>
      </c>
      <c r="T87" t="s">
        <v>55</v>
      </c>
      <c r="U87">
        <v>126</v>
      </c>
      <c r="V87" t="s">
        <v>56</v>
      </c>
      <c r="W87" t="s">
        <v>152</v>
      </c>
      <c r="X87" s="4">
        <v>0</v>
      </c>
      <c r="Y87" t="s">
        <v>58</v>
      </c>
      <c r="Z87">
        <v>0</v>
      </c>
      <c r="AA87">
        <v>0</v>
      </c>
      <c r="AB87" s="3">
        <v>1102.4000000000001</v>
      </c>
      <c r="AC87">
        <v>0</v>
      </c>
      <c r="AD87">
        <v>0</v>
      </c>
      <c r="AE87" s="3">
        <v>800</v>
      </c>
      <c r="AF87" t="s">
        <v>54</v>
      </c>
      <c r="AG87" t="s">
        <v>59</v>
      </c>
      <c r="AI87" t="s">
        <v>73</v>
      </c>
      <c r="AJ87" t="s">
        <v>73</v>
      </c>
      <c r="AK87" s="5">
        <v>46041.482766203706</v>
      </c>
      <c r="AO87" t="s">
        <v>54</v>
      </c>
      <c r="AP87">
        <v>0</v>
      </c>
      <c r="AR87" t="s">
        <v>54</v>
      </c>
      <c r="AS87" t="s">
        <v>54</v>
      </c>
      <c r="AT87">
        <v>4340</v>
      </c>
      <c r="AU87" t="s">
        <v>55</v>
      </c>
    </row>
    <row r="88" spans="1:47" hidden="1" x14ac:dyDescent="0.25">
      <c r="A88" t="s">
        <v>96</v>
      </c>
      <c r="B88" s="1">
        <v>38463</v>
      </c>
      <c r="C88" t="s">
        <v>48</v>
      </c>
      <c r="D88" t="s">
        <v>49</v>
      </c>
      <c r="E88" s="2">
        <v>46042</v>
      </c>
      <c r="F88" t="s">
        <v>153</v>
      </c>
      <c r="G88" t="s">
        <v>66</v>
      </c>
      <c r="H88" s="3">
        <v>3708</v>
      </c>
      <c r="I88" s="3">
        <v>3708</v>
      </c>
      <c r="J88">
        <v>0</v>
      </c>
      <c r="K88" s="3">
        <v>3708</v>
      </c>
      <c r="L88" s="3">
        <v>691.2</v>
      </c>
      <c r="M88" s="3">
        <v>324.86</v>
      </c>
      <c r="N88" t="s">
        <v>52</v>
      </c>
      <c r="O88" t="s">
        <v>53</v>
      </c>
      <c r="P88" t="s">
        <v>53</v>
      </c>
      <c r="Q88" t="s">
        <v>53</v>
      </c>
      <c r="R88" t="s">
        <v>54</v>
      </c>
      <c r="S88" t="s">
        <v>54</v>
      </c>
      <c r="T88" t="s">
        <v>55</v>
      </c>
      <c r="U88">
        <v>126</v>
      </c>
      <c r="V88" t="s">
        <v>56</v>
      </c>
      <c r="W88" t="s">
        <v>95</v>
      </c>
      <c r="X88" s="4">
        <v>0</v>
      </c>
      <c r="Y88" t="s">
        <v>58</v>
      </c>
      <c r="Z88">
        <v>0</v>
      </c>
      <c r="AA88">
        <v>0</v>
      </c>
      <c r="AB88">
        <v>0</v>
      </c>
      <c r="AC88">
        <v>0</v>
      </c>
      <c r="AD88" s="3">
        <v>691.2</v>
      </c>
      <c r="AE88" s="3">
        <v>1200</v>
      </c>
      <c r="AF88" t="s">
        <v>54</v>
      </c>
      <c r="AG88" t="s">
        <v>59</v>
      </c>
      <c r="AI88" t="s">
        <v>73</v>
      </c>
      <c r="AJ88" t="s">
        <v>92</v>
      </c>
      <c r="AK88" s="5">
        <v>46042.607210648152</v>
      </c>
      <c r="AO88" t="s">
        <v>54</v>
      </c>
      <c r="AP88">
        <v>0</v>
      </c>
      <c r="AR88" t="s">
        <v>54</v>
      </c>
      <c r="AS88" t="s">
        <v>54</v>
      </c>
      <c r="AT88">
        <v>7472</v>
      </c>
      <c r="AU88" t="s">
        <v>55</v>
      </c>
    </row>
    <row r="89" spans="1:47" hidden="1" x14ac:dyDescent="0.25">
      <c r="A89" t="s">
        <v>47</v>
      </c>
      <c r="B89" s="1">
        <v>38464</v>
      </c>
      <c r="C89" t="s">
        <v>48</v>
      </c>
      <c r="D89" t="s">
        <v>49</v>
      </c>
      <c r="E89" s="2">
        <v>46042</v>
      </c>
      <c r="F89" t="s">
        <v>112</v>
      </c>
      <c r="G89" s="3" t="s">
        <v>113</v>
      </c>
      <c r="H89" s="3">
        <v>8160</v>
      </c>
      <c r="I89" s="3">
        <v>8160</v>
      </c>
      <c r="J89">
        <v>0</v>
      </c>
      <c r="K89" s="3">
        <v>8160</v>
      </c>
      <c r="L89" s="3">
        <v>1118</v>
      </c>
      <c r="M89" s="3">
        <v>609.30999999999995</v>
      </c>
      <c r="N89" t="s">
        <v>52</v>
      </c>
      <c r="O89" t="s">
        <v>53</v>
      </c>
      <c r="P89" t="s">
        <v>53</v>
      </c>
      <c r="Q89" t="s">
        <v>53</v>
      </c>
      <c r="R89" t="s">
        <v>54</v>
      </c>
      <c r="S89" t="s">
        <v>54</v>
      </c>
      <c r="T89" t="s">
        <v>55</v>
      </c>
      <c r="U89">
        <v>126</v>
      </c>
      <c r="V89" t="s">
        <v>56</v>
      </c>
      <c r="W89" t="s">
        <v>78</v>
      </c>
      <c r="X89" s="4">
        <v>0</v>
      </c>
      <c r="Y89" t="s">
        <v>58</v>
      </c>
      <c r="Z89" s="3">
        <v>1118</v>
      </c>
      <c r="AA89">
        <v>0</v>
      </c>
      <c r="AB89" s="3">
        <v>0</v>
      </c>
      <c r="AC89">
        <v>0</v>
      </c>
      <c r="AD89" s="3">
        <v>0</v>
      </c>
      <c r="AE89" s="3">
        <v>2000</v>
      </c>
      <c r="AF89" t="s">
        <v>54</v>
      </c>
      <c r="AG89" t="s">
        <v>59</v>
      </c>
      <c r="AH89" t="s">
        <v>115</v>
      </c>
      <c r="AI89" t="s">
        <v>92</v>
      </c>
      <c r="AJ89" t="s">
        <v>92</v>
      </c>
      <c r="AK89" s="5">
        <v>46042.608483796299</v>
      </c>
      <c r="AO89" t="s">
        <v>54</v>
      </c>
      <c r="AP89">
        <v>0</v>
      </c>
      <c r="AR89" t="s">
        <v>54</v>
      </c>
      <c r="AS89" t="s">
        <v>54</v>
      </c>
      <c r="AT89">
        <v>4089</v>
      </c>
      <c r="AU89" t="s">
        <v>55</v>
      </c>
    </row>
    <row r="90" spans="1:47" hidden="1" x14ac:dyDescent="0.25">
      <c r="A90" t="s">
        <v>47</v>
      </c>
      <c r="B90" s="1">
        <v>38465</v>
      </c>
      <c r="C90" t="s">
        <v>48</v>
      </c>
      <c r="D90" t="s">
        <v>49</v>
      </c>
      <c r="E90" s="2">
        <v>46042</v>
      </c>
      <c r="F90" t="s">
        <v>154</v>
      </c>
      <c r="G90" t="s">
        <v>89</v>
      </c>
      <c r="H90" s="3">
        <v>2239.1999999999998</v>
      </c>
      <c r="I90" s="3">
        <v>2239.1999999999998</v>
      </c>
      <c r="J90">
        <v>0</v>
      </c>
      <c r="K90" s="3">
        <v>2575.08</v>
      </c>
      <c r="L90" s="3">
        <v>466.56</v>
      </c>
      <c r="M90" s="3">
        <v>171.23</v>
      </c>
      <c r="N90" t="s">
        <v>106</v>
      </c>
      <c r="O90" t="s">
        <v>53</v>
      </c>
      <c r="P90" t="s">
        <v>53</v>
      </c>
      <c r="Q90" t="s">
        <v>53</v>
      </c>
      <c r="R90" t="s">
        <v>54</v>
      </c>
      <c r="S90" t="s">
        <v>54</v>
      </c>
      <c r="T90" t="s">
        <v>55</v>
      </c>
      <c r="U90">
        <v>145</v>
      </c>
      <c r="V90" t="s">
        <v>145</v>
      </c>
      <c r="W90" t="s">
        <v>85</v>
      </c>
      <c r="X90" s="4">
        <v>0</v>
      </c>
      <c r="Y90" t="s">
        <v>62</v>
      </c>
      <c r="AD90" s="3"/>
      <c r="AE90" s="3"/>
      <c r="AK90" s="5"/>
    </row>
    <row r="91" spans="1:47" hidden="1" x14ac:dyDescent="0.25">
      <c r="A91" t="s">
        <v>63</v>
      </c>
      <c r="B91" s="1">
        <v>466.56</v>
      </c>
      <c r="C91">
        <v>0</v>
      </c>
      <c r="D91">
        <v>0</v>
      </c>
      <c r="E91" s="2">
        <v>0</v>
      </c>
      <c r="F91">
        <v>0</v>
      </c>
      <c r="G91" s="3">
        <v>720</v>
      </c>
      <c r="H91" s="3" t="s">
        <v>54</v>
      </c>
      <c r="I91" s="3" t="s">
        <v>59</v>
      </c>
      <c r="J91" t="s">
        <v>148</v>
      </c>
      <c r="K91" s="3" t="s">
        <v>73</v>
      </c>
      <c r="L91" s="3" t="s">
        <v>73</v>
      </c>
      <c r="M91" s="3">
        <v>46042.694409722222</v>
      </c>
      <c r="Q91" t="s">
        <v>54</v>
      </c>
      <c r="R91">
        <v>0</v>
      </c>
      <c r="T91" t="s">
        <v>54</v>
      </c>
      <c r="U91" t="s">
        <v>54</v>
      </c>
      <c r="V91">
        <v>7814</v>
      </c>
      <c r="W91" t="s">
        <v>55</v>
      </c>
      <c r="X91" s="4"/>
      <c r="AD91" s="3"/>
      <c r="AE91" s="3"/>
      <c r="AK91" s="5"/>
    </row>
    <row r="92" spans="1:47" hidden="1" x14ac:dyDescent="0.25">
      <c r="A92" t="s">
        <v>96</v>
      </c>
      <c r="B92" s="1">
        <v>38466</v>
      </c>
      <c r="C92" t="s">
        <v>48</v>
      </c>
      <c r="D92" s="3" t="s">
        <v>49</v>
      </c>
      <c r="E92" s="2">
        <v>46043</v>
      </c>
      <c r="F92" t="s">
        <v>207</v>
      </c>
      <c r="G92" s="3" t="s">
        <v>137</v>
      </c>
      <c r="H92" s="3">
        <v>5350</v>
      </c>
      <c r="I92" s="3">
        <v>5350</v>
      </c>
      <c r="J92">
        <v>0</v>
      </c>
      <c r="K92" s="3">
        <v>5350</v>
      </c>
      <c r="L92" s="3">
        <v>4892</v>
      </c>
      <c r="M92" s="3">
        <v>2310.08</v>
      </c>
      <c r="N92" t="s">
        <v>52</v>
      </c>
      <c r="O92" t="s">
        <v>53</v>
      </c>
      <c r="P92" t="s">
        <v>53</v>
      </c>
      <c r="Q92" t="s">
        <v>53</v>
      </c>
      <c r="R92" t="s">
        <v>54</v>
      </c>
      <c r="S92" t="s">
        <v>54</v>
      </c>
      <c r="T92" t="s">
        <v>55</v>
      </c>
      <c r="U92">
        <v>126</v>
      </c>
      <c r="V92" t="s">
        <v>56</v>
      </c>
      <c r="W92">
        <v>0</v>
      </c>
      <c r="X92" s="4">
        <v>0</v>
      </c>
      <c r="Y92" t="s">
        <v>62</v>
      </c>
      <c r="AB92" s="3"/>
      <c r="AD92" s="3"/>
      <c r="AE92" s="3"/>
      <c r="AK92" s="5"/>
    </row>
    <row r="93" spans="1:47" hidden="1" x14ac:dyDescent="0.25">
      <c r="A93" t="s">
        <v>63</v>
      </c>
      <c r="B93" s="3">
        <v>4892</v>
      </c>
      <c r="C93">
        <v>0</v>
      </c>
      <c r="D93">
        <v>0</v>
      </c>
      <c r="E93" s="2">
        <v>0</v>
      </c>
      <c r="F93">
        <v>0</v>
      </c>
      <c r="G93" s="3">
        <v>3000</v>
      </c>
      <c r="H93" s="3" t="s">
        <v>54</v>
      </c>
      <c r="I93" s="3" t="s">
        <v>59</v>
      </c>
      <c r="J93" t="s">
        <v>171</v>
      </c>
      <c r="K93" s="3" t="s">
        <v>92</v>
      </c>
      <c r="L93" s="3" t="s">
        <v>92</v>
      </c>
      <c r="M93" s="3">
        <v>46043.400405092594</v>
      </c>
      <c r="Q93" t="s">
        <v>54</v>
      </c>
      <c r="R93">
        <v>0</v>
      </c>
      <c r="T93" t="s">
        <v>54</v>
      </c>
      <c r="U93" t="s">
        <v>54</v>
      </c>
      <c r="V93">
        <v>8571</v>
      </c>
      <c r="W93" t="s">
        <v>55</v>
      </c>
      <c r="X93" s="4"/>
      <c r="AD93" s="3"/>
      <c r="AE93" s="3"/>
      <c r="AK93" s="5"/>
    </row>
    <row r="94" spans="1:47" hidden="1" x14ac:dyDescent="0.25">
      <c r="A94" t="s">
        <v>96</v>
      </c>
      <c r="B94" s="3">
        <v>38469</v>
      </c>
      <c r="C94" t="s">
        <v>48</v>
      </c>
      <c r="D94" t="s">
        <v>49</v>
      </c>
      <c r="E94" s="2">
        <v>46044</v>
      </c>
      <c r="F94" t="s">
        <v>155</v>
      </c>
      <c r="G94" s="3" t="s">
        <v>156</v>
      </c>
      <c r="H94" s="3">
        <v>13130.35</v>
      </c>
      <c r="I94" s="3">
        <v>13130.35</v>
      </c>
      <c r="J94">
        <v>0</v>
      </c>
      <c r="K94" s="3">
        <v>13130.35</v>
      </c>
      <c r="L94" s="3">
        <v>2707.8</v>
      </c>
      <c r="M94" s="3">
        <v>1056.05</v>
      </c>
      <c r="N94" t="s">
        <v>98</v>
      </c>
      <c r="O94" t="s">
        <v>53</v>
      </c>
      <c r="P94" t="s">
        <v>53</v>
      </c>
      <c r="Q94" t="s">
        <v>53</v>
      </c>
      <c r="R94" t="s">
        <v>54</v>
      </c>
      <c r="S94" t="s">
        <v>54</v>
      </c>
      <c r="T94" t="s">
        <v>55</v>
      </c>
      <c r="U94">
        <v>167</v>
      </c>
      <c r="V94" t="s">
        <v>99</v>
      </c>
      <c r="W94" t="s">
        <v>134</v>
      </c>
      <c r="X94" s="4">
        <v>0</v>
      </c>
      <c r="Y94" t="s">
        <v>58</v>
      </c>
      <c r="Z94" s="3">
        <v>2707.8</v>
      </c>
      <c r="AA94">
        <v>0</v>
      </c>
      <c r="AB94" s="3">
        <v>0</v>
      </c>
      <c r="AC94">
        <v>0</v>
      </c>
      <c r="AD94">
        <v>0</v>
      </c>
      <c r="AE94" s="3">
        <v>1250</v>
      </c>
      <c r="AF94" t="s">
        <v>54</v>
      </c>
      <c r="AG94" t="s">
        <v>59</v>
      </c>
      <c r="AI94" t="s">
        <v>73</v>
      </c>
      <c r="AJ94" t="s">
        <v>73</v>
      </c>
      <c r="AK94" s="5">
        <v>46044.595682870371</v>
      </c>
      <c r="AO94" t="s">
        <v>54</v>
      </c>
      <c r="AP94">
        <v>0</v>
      </c>
      <c r="AR94" t="s">
        <v>54</v>
      </c>
      <c r="AS94" t="s">
        <v>54</v>
      </c>
      <c r="AT94">
        <v>8561</v>
      </c>
      <c r="AU94" t="s">
        <v>55</v>
      </c>
    </row>
    <row r="95" spans="1:47" hidden="1" x14ac:dyDescent="0.25">
      <c r="A95" t="s">
        <v>47</v>
      </c>
      <c r="B95" s="1">
        <v>38470</v>
      </c>
      <c r="C95" t="s">
        <v>48</v>
      </c>
      <c r="D95" t="s">
        <v>49</v>
      </c>
      <c r="E95" s="2">
        <v>46044</v>
      </c>
      <c r="F95" t="s">
        <v>157</v>
      </c>
      <c r="G95" t="s">
        <v>158</v>
      </c>
      <c r="H95" s="3">
        <v>5258</v>
      </c>
      <c r="I95" s="3">
        <v>5258</v>
      </c>
      <c r="J95">
        <v>0</v>
      </c>
      <c r="K95" s="3">
        <v>6046.7</v>
      </c>
      <c r="L95" s="3">
        <v>1234.2</v>
      </c>
      <c r="M95" s="3">
        <v>382.6</v>
      </c>
      <c r="N95" t="s">
        <v>52</v>
      </c>
      <c r="O95" t="s">
        <v>53</v>
      </c>
      <c r="P95" t="s">
        <v>53</v>
      </c>
      <c r="Q95" t="s">
        <v>53</v>
      </c>
      <c r="R95" t="s">
        <v>54</v>
      </c>
      <c r="S95" t="s">
        <v>54</v>
      </c>
      <c r="T95" t="s">
        <v>55</v>
      </c>
      <c r="U95">
        <v>126</v>
      </c>
      <c r="V95" t="s">
        <v>56</v>
      </c>
      <c r="W95" t="s">
        <v>114</v>
      </c>
      <c r="X95" s="4">
        <v>0</v>
      </c>
      <c r="Y95" t="s">
        <v>62</v>
      </c>
      <c r="AD95" s="3"/>
      <c r="AE95" s="3"/>
      <c r="AK95" s="5"/>
    </row>
    <row r="96" spans="1:47" hidden="1" x14ac:dyDescent="0.25">
      <c r="A96" t="s">
        <v>63</v>
      </c>
      <c r="B96" s="1">
        <v>0</v>
      </c>
      <c r="C96">
        <v>0</v>
      </c>
      <c r="D96">
        <v>0</v>
      </c>
      <c r="E96" s="2">
        <v>0</v>
      </c>
      <c r="F96" s="3">
        <v>1234.2</v>
      </c>
      <c r="G96" s="3">
        <v>2200</v>
      </c>
      <c r="H96" s="3" t="s">
        <v>54</v>
      </c>
      <c r="I96" s="3" t="s">
        <v>59</v>
      </c>
      <c r="J96" t="s">
        <v>159</v>
      </c>
      <c r="K96" s="3" t="s">
        <v>60</v>
      </c>
      <c r="L96" s="3" t="s">
        <v>60</v>
      </c>
      <c r="M96" s="3">
        <v>46044.665081018517</v>
      </c>
      <c r="Q96" t="s">
        <v>54</v>
      </c>
      <c r="R96">
        <v>0</v>
      </c>
      <c r="T96" t="s">
        <v>54</v>
      </c>
      <c r="U96" t="s">
        <v>54</v>
      </c>
      <c r="V96">
        <v>8595</v>
      </c>
      <c r="W96" t="s">
        <v>55</v>
      </c>
      <c r="X96" s="4"/>
      <c r="Z96" s="3"/>
      <c r="AB96" s="3"/>
      <c r="AD96" s="3"/>
      <c r="AE96" s="3"/>
      <c r="AK96" s="5"/>
    </row>
    <row r="97" spans="1:47" hidden="1" x14ac:dyDescent="0.25">
      <c r="A97" t="s">
        <v>47</v>
      </c>
      <c r="B97" s="3">
        <v>38471</v>
      </c>
      <c r="C97" t="s">
        <v>48</v>
      </c>
      <c r="D97" t="s">
        <v>49</v>
      </c>
      <c r="E97" s="2">
        <v>46044</v>
      </c>
      <c r="F97" t="s">
        <v>74</v>
      </c>
      <c r="G97" s="3" t="s">
        <v>51</v>
      </c>
      <c r="H97" s="3">
        <v>10372</v>
      </c>
      <c r="I97" s="3">
        <v>10372</v>
      </c>
      <c r="J97">
        <v>0</v>
      </c>
      <c r="K97" s="3">
        <v>11927.8</v>
      </c>
      <c r="L97" s="3">
        <v>1115.2</v>
      </c>
      <c r="M97" s="3">
        <v>711.5</v>
      </c>
      <c r="N97" t="s">
        <v>75</v>
      </c>
      <c r="O97" t="s">
        <v>53</v>
      </c>
      <c r="P97" t="s">
        <v>53</v>
      </c>
      <c r="Q97" t="s">
        <v>53</v>
      </c>
      <c r="R97" t="s">
        <v>54</v>
      </c>
      <c r="S97" t="s">
        <v>54</v>
      </c>
      <c r="T97" t="s">
        <v>55</v>
      </c>
      <c r="U97">
        <v>43</v>
      </c>
      <c r="W97" t="s">
        <v>72</v>
      </c>
      <c r="X97" s="4">
        <v>0</v>
      </c>
      <c r="Y97" t="s">
        <v>58</v>
      </c>
      <c r="Z97">
        <v>0</v>
      </c>
      <c r="AA97">
        <v>0</v>
      </c>
      <c r="AB97" s="3">
        <v>1115.2</v>
      </c>
      <c r="AC97">
        <v>0</v>
      </c>
      <c r="AD97">
        <v>0</v>
      </c>
      <c r="AE97">
        <v>800</v>
      </c>
      <c r="AF97" t="s">
        <v>54</v>
      </c>
      <c r="AG97" t="s">
        <v>59</v>
      </c>
      <c r="AI97" t="s">
        <v>73</v>
      </c>
      <c r="AJ97" t="s">
        <v>73</v>
      </c>
      <c r="AK97" s="5">
        <v>46044.708749999998</v>
      </c>
      <c r="AO97" t="s">
        <v>54</v>
      </c>
      <c r="AP97">
        <v>0</v>
      </c>
      <c r="AR97" t="s">
        <v>54</v>
      </c>
      <c r="AS97" t="s">
        <v>54</v>
      </c>
      <c r="AT97">
        <v>8469</v>
      </c>
      <c r="AU97" t="s">
        <v>55</v>
      </c>
    </row>
    <row r="98" spans="1:47" hidden="1" x14ac:dyDescent="0.25">
      <c r="A98" t="s">
        <v>47</v>
      </c>
      <c r="B98" s="1">
        <v>38472</v>
      </c>
      <c r="C98" t="s">
        <v>48</v>
      </c>
      <c r="D98" t="s">
        <v>49</v>
      </c>
      <c r="E98" s="2">
        <v>46044</v>
      </c>
      <c r="F98" t="s">
        <v>160</v>
      </c>
      <c r="G98" s="3" t="s">
        <v>109</v>
      </c>
      <c r="H98" s="3">
        <v>65830</v>
      </c>
      <c r="I98" s="3">
        <v>65830</v>
      </c>
      <c r="J98">
        <v>0</v>
      </c>
      <c r="K98" s="3">
        <v>75704.5</v>
      </c>
      <c r="L98" s="3">
        <v>9907.5</v>
      </c>
      <c r="M98" s="3">
        <v>4687.45</v>
      </c>
      <c r="N98" t="s">
        <v>77</v>
      </c>
      <c r="O98" t="s">
        <v>53</v>
      </c>
      <c r="P98" t="s">
        <v>53</v>
      </c>
      <c r="Q98" t="s">
        <v>53</v>
      </c>
      <c r="R98" t="s">
        <v>54</v>
      </c>
      <c r="S98" t="s">
        <v>54</v>
      </c>
      <c r="T98" t="s">
        <v>55</v>
      </c>
      <c r="U98">
        <v>83</v>
      </c>
      <c r="W98" t="s">
        <v>161</v>
      </c>
      <c r="X98" s="4">
        <v>0</v>
      </c>
      <c r="Y98" t="s">
        <v>58</v>
      </c>
      <c r="Z98" s="3">
        <v>0</v>
      </c>
      <c r="AA98">
        <v>0</v>
      </c>
      <c r="AB98" s="3">
        <v>294.5</v>
      </c>
      <c r="AC98">
        <v>0</v>
      </c>
      <c r="AD98" s="3">
        <v>9613</v>
      </c>
      <c r="AE98" s="3">
        <v>11500</v>
      </c>
      <c r="AF98" t="s">
        <v>54</v>
      </c>
      <c r="AG98" t="s">
        <v>59</v>
      </c>
      <c r="AI98" t="s">
        <v>80</v>
      </c>
      <c r="AJ98" t="s">
        <v>73</v>
      </c>
      <c r="AK98" s="5">
        <v>46045.324247685188</v>
      </c>
      <c r="AO98" t="s">
        <v>54</v>
      </c>
      <c r="AP98">
        <v>0</v>
      </c>
      <c r="AR98" t="s">
        <v>54</v>
      </c>
      <c r="AS98" t="s">
        <v>54</v>
      </c>
      <c r="AT98">
        <v>4386</v>
      </c>
      <c r="AU98" t="s">
        <v>55</v>
      </c>
    </row>
    <row r="99" spans="1:47" hidden="1" x14ac:dyDescent="0.25">
      <c r="A99" t="s">
        <v>81</v>
      </c>
      <c r="B99" s="1">
        <v>38473</v>
      </c>
      <c r="C99" t="s">
        <v>48</v>
      </c>
      <c r="D99" t="s">
        <v>49</v>
      </c>
      <c r="E99" s="2">
        <v>46045</v>
      </c>
      <c r="F99" t="s">
        <v>139</v>
      </c>
      <c r="G99" s="3" t="s">
        <v>140</v>
      </c>
      <c r="H99" s="3">
        <v>4264.2</v>
      </c>
      <c r="I99" s="3">
        <v>4264.2</v>
      </c>
      <c r="J99">
        <v>0</v>
      </c>
      <c r="K99" s="3">
        <v>4264.2</v>
      </c>
      <c r="L99" s="3">
        <v>735.54</v>
      </c>
      <c r="M99" s="3">
        <v>345.7</v>
      </c>
      <c r="N99" t="s">
        <v>77</v>
      </c>
      <c r="O99" t="s">
        <v>53</v>
      </c>
      <c r="P99" t="s">
        <v>53</v>
      </c>
      <c r="Q99" t="s">
        <v>53</v>
      </c>
      <c r="R99" t="s">
        <v>54</v>
      </c>
      <c r="S99" t="s">
        <v>54</v>
      </c>
      <c r="T99" t="s">
        <v>55</v>
      </c>
      <c r="U99">
        <v>83</v>
      </c>
      <c r="W99" t="s">
        <v>72</v>
      </c>
      <c r="X99" s="4">
        <v>0</v>
      </c>
      <c r="Y99" t="s">
        <v>58</v>
      </c>
      <c r="Z99">
        <v>0</v>
      </c>
      <c r="AA99">
        <v>0</v>
      </c>
      <c r="AB99" s="3">
        <v>0</v>
      </c>
      <c r="AC99">
        <v>0</v>
      </c>
      <c r="AD99">
        <v>735.54</v>
      </c>
      <c r="AE99">
        <v>460</v>
      </c>
      <c r="AF99" t="s">
        <v>54</v>
      </c>
      <c r="AG99" t="s">
        <v>59</v>
      </c>
      <c r="AH99" t="s">
        <v>103</v>
      </c>
      <c r="AI99" t="s">
        <v>80</v>
      </c>
      <c r="AJ99" t="s">
        <v>73</v>
      </c>
      <c r="AK99" s="5">
        <v>46045.480324074073</v>
      </c>
      <c r="AO99" t="s">
        <v>54</v>
      </c>
      <c r="AP99">
        <v>0</v>
      </c>
      <c r="AR99" t="s">
        <v>54</v>
      </c>
      <c r="AS99" t="s">
        <v>54</v>
      </c>
      <c r="AT99">
        <v>3465</v>
      </c>
      <c r="AU99" t="s">
        <v>55</v>
      </c>
    </row>
    <row r="100" spans="1:47" hidden="1" x14ac:dyDescent="0.25">
      <c r="A100" t="s">
        <v>47</v>
      </c>
      <c r="B100" s="1">
        <v>38474</v>
      </c>
      <c r="C100" t="s">
        <v>48</v>
      </c>
      <c r="D100" t="s">
        <v>49</v>
      </c>
      <c r="E100" s="2">
        <v>46045</v>
      </c>
      <c r="F100" s="3" t="s">
        <v>101</v>
      </c>
      <c r="G100" s="3" t="s">
        <v>94</v>
      </c>
      <c r="H100" s="3">
        <v>2288.9</v>
      </c>
      <c r="I100" s="3">
        <v>2288.9</v>
      </c>
      <c r="J100">
        <v>0</v>
      </c>
      <c r="K100" s="3">
        <v>2632.24</v>
      </c>
      <c r="L100" s="3">
        <v>400.65</v>
      </c>
      <c r="M100" s="3">
        <v>217.92</v>
      </c>
      <c r="N100" t="s">
        <v>84</v>
      </c>
      <c r="O100" t="s">
        <v>53</v>
      </c>
      <c r="P100" t="s">
        <v>53</v>
      </c>
      <c r="Q100" t="s">
        <v>53</v>
      </c>
      <c r="R100" t="s">
        <v>54</v>
      </c>
      <c r="S100" t="s">
        <v>54</v>
      </c>
      <c r="T100" t="s">
        <v>55</v>
      </c>
      <c r="U100">
        <v>9</v>
      </c>
      <c r="V100" t="s">
        <v>71</v>
      </c>
      <c r="W100" t="s">
        <v>102</v>
      </c>
      <c r="X100" s="4">
        <v>0</v>
      </c>
      <c r="Y100" t="s">
        <v>58</v>
      </c>
      <c r="Z100">
        <v>59.85</v>
      </c>
      <c r="AA100">
        <v>0</v>
      </c>
      <c r="AB100" s="3">
        <v>340.8</v>
      </c>
      <c r="AC100">
        <v>0</v>
      </c>
      <c r="AD100">
        <v>0</v>
      </c>
      <c r="AE100" s="3">
        <v>80</v>
      </c>
      <c r="AF100" t="s">
        <v>54</v>
      </c>
      <c r="AG100" t="s">
        <v>59</v>
      </c>
      <c r="AH100" t="s">
        <v>103</v>
      </c>
      <c r="AI100" t="s">
        <v>73</v>
      </c>
      <c r="AJ100" t="s">
        <v>73</v>
      </c>
      <c r="AK100" s="5">
        <v>46045.474953703706</v>
      </c>
      <c r="AO100" t="s">
        <v>54</v>
      </c>
      <c r="AP100">
        <v>0</v>
      </c>
      <c r="AR100" t="s">
        <v>54</v>
      </c>
      <c r="AS100" t="s">
        <v>54</v>
      </c>
      <c r="AT100">
        <v>161</v>
      </c>
      <c r="AU100" t="s">
        <v>55</v>
      </c>
    </row>
    <row r="101" spans="1:47" hidden="1" x14ac:dyDescent="0.25">
      <c r="A101" t="s">
        <v>96</v>
      </c>
      <c r="B101" s="1">
        <v>38475</v>
      </c>
      <c r="C101" t="s">
        <v>48</v>
      </c>
      <c r="D101" s="3" t="s">
        <v>49</v>
      </c>
      <c r="E101" s="2">
        <v>46048</v>
      </c>
      <c r="F101" t="s">
        <v>162</v>
      </c>
      <c r="G101" s="3" t="s">
        <v>66</v>
      </c>
      <c r="H101" s="3">
        <v>225</v>
      </c>
      <c r="I101" s="3">
        <v>225</v>
      </c>
      <c r="J101">
        <v>0</v>
      </c>
      <c r="K101" s="3">
        <v>225</v>
      </c>
      <c r="L101" s="3">
        <v>82.5</v>
      </c>
      <c r="M101" s="3">
        <v>23.93</v>
      </c>
      <c r="N101" t="s">
        <v>52</v>
      </c>
      <c r="O101" t="s">
        <v>53</v>
      </c>
      <c r="P101" t="s">
        <v>53</v>
      </c>
      <c r="Q101" t="s">
        <v>53</v>
      </c>
      <c r="R101" t="s">
        <v>54</v>
      </c>
      <c r="S101" t="s">
        <v>54</v>
      </c>
      <c r="T101" t="s">
        <v>55</v>
      </c>
      <c r="U101">
        <v>126</v>
      </c>
      <c r="V101" t="s">
        <v>56</v>
      </c>
      <c r="W101" t="s">
        <v>163</v>
      </c>
      <c r="X101" s="4">
        <v>0</v>
      </c>
      <c r="Y101" t="s">
        <v>58</v>
      </c>
      <c r="Z101" s="3">
        <v>82.5</v>
      </c>
      <c r="AA101">
        <v>0</v>
      </c>
      <c r="AB101" s="3">
        <v>0</v>
      </c>
      <c r="AC101">
        <v>0</v>
      </c>
      <c r="AD101" s="3">
        <v>0</v>
      </c>
      <c r="AE101" s="3">
        <v>2500</v>
      </c>
      <c r="AF101" t="s">
        <v>54</v>
      </c>
      <c r="AG101" t="s">
        <v>59</v>
      </c>
      <c r="AH101" t="s">
        <v>164</v>
      </c>
      <c r="AI101" t="s">
        <v>60</v>
      </c>
      <c r="AJ101" t="s">
        <v>60</v>
      </c>
      <c r="AK101" s="5">
        <v>46048.431967592594</v>
      </c>
      <c r="AO101" t="s">
        <v>54</v>
      </c>
      <c r="AP101">
        <v>0</v>
      </c>
      <c r="AR101" t="s">
        <v>54</v>
      </c>
      <c r="AS101" t="s">
        <v>54</v>
      </c>
      <c r="AT101">
        <v>5486</v>
      </c>
      <c r="AU101" t="s">
        <v>55</v>
      </c>
    </row>
    <row r="102" spans="1:47" hidden="1" x14ac:dyDescent="0.25">
      <c r="A102" t="s">
        <v>96</v>
      </c>
      <c r="B102" s="1">
        <v>38476</v>
      </c>
      <c r="C102" t="s">
        <v>48</v>
      </c>
      <c r="D102" s="3" t="s">
        <v>49</v>
      </c>
      <c r="E102" s="2">
        <v>46048</v>
      </c>
      <c r="F102" t="s">
        <v>165</v>
      </c>
      <c r="G102" s="3" t="s">
        <v>69</v>
      </c>
      <c r="H102" s="3">
        <v>9160</v>
      </c>
      <c r="I102" s="3">
        <v>9160</v>
      </c>
      <c r="J102">
        <v>0</v>
      </c>
      <c r="K102" s="3">
        <v>9160</v>
      </c>
      <c r="L102" s="3">
        <v>1610</v>
      </c>
      <c r="M102" s="3">
        <v>925.75</v>
      </c>
      <c r="N102" t="s">
        <v>52</v>
      </c>
      <c r="O102" t="s">
        <v>53</v>
      </c>
      <c r="P102" t="s">
        <v>53</v>
      </c>
      <c r="Q102" t="s">
        <v>53</v>
      </c>
      <c r="R102" t="s">
        <v>54</v>
      </c>
      <c r="S102" t="s">
        <v>54</v>
      </c>
      <c r="T102" t="s">
        <v>55</v>
      </c>
      <c r="U102">
        <v>126</v>
      </c>
      <c r="V102" t="s">
        <v>56</v>
      </c>
      <c r="W102" t="s">
        <v>152</v>
      </c>
      <c r="X102" s="4">
        <v>0</v>
      </c>
      <c r="Y102" t="s">
        <v>58</v>
      </c>
      <c r="Z102" s="3">
        <v>0</v>
      </c>
      <c r="AA102">
        <v>0</v>
      </c>
      <c r="AB102" s="3">
        <v>1610</v>
      </c>
      <c r="AC102">
        <v>0</v>
      </c>
      <c r="AD102" s="3">
        <v>0</v>
      </c>
      <c r="AE102" s="3">
        <v>2000</v>
      </c>
      <c r="AF102" t="s">
        <v>54</v>
      </c>
      <c r="AG102" t="s">
        <v>59</v>
      </c>
      <c r="AI102" t="s">
        <v>60</v>
      </c>
      <c r="AJ102" t="s">
        <v>60</v>
      </c>
      <c r="AK102" s="5">
        <v>46048.455706018518</v>
      </c>
      <c r="AO102" t="s">
        <v>54</v>
      </c>
      <c r="AP102">
        <v>0</v>
      </c>
      <c r="AR102" t="s">
        <v>54</v>
      </c>
      <c r="AS102" t="s">
        <v>54</v>
      </c>
      <c r="AT102">
        <v>322</v>
      </c>
      <c r="AU102" t="s">
        <v>55</v>
      </c>
    </row>
    <row r="103" spans="1:47" hidden="1" x14ac:dyDescent="0.25">
      <c r="A103" t="s">
        <v>47</v>
      </c>
      <c r="B103" s="1">
        <v>38477</v>
      </c>
      <c r="C103" t="s">
        <v>48</v>
      </c>
      <c r="D103" t="s">
        <v>49</v>
      </c>
      <c r="E103" s="2">
        <v>46048</v>
      </c>
      <c r="F103" t="s">
        <v>129</v>
      </c>
      <c r="G103" t="s">
        <v>130</v>
      </c>
      <c r="H103" s="3">
        <v>14902</v>
      </c>
      <c r="I103" s="3">
        <v>14902</v>
      </c>
      <c r="J103">
        <v>0</v>
      </c>
      <c r="K103" s="3">
        <v>17137.3</v>
      </c>
      <c r="L103" s="3">
        <v>2835.2</v>
      </c>
      <c r="M103" s="3">
        <v>1095.97</v>
      </c>
      <c r="N103" t="s">
        <v>52</v>
      </c>
      <c r="O103" t="s">
        <v>53</v>
      </c>
      <c r="P103" t="s">
        <v>53</v>
      </c>
      <c r="Q103" t="s">
        <v>53</v>
      </c>
      <c r="R103" t="s">
        <v>54</v>
      </c>
      <c r="S103" t="s">
        <v>54</v>
      </c>
      <c r="T103" t="s">
        <v>55</v>
      </c>
      <c r="U103">
        <v>126</v>
      </c>
      <c r="V103" t="s">
        <v>56</v>
      </c>
      <c r="W103" t="s">
        <v>131</v>
      </c>
      <c r="X103" s="4">
        <v>0</v>
      </c>
      <c r="Y103" t="s">
        <v>62</v>
      </c>
      <c r="AA103" s="3"/>
      <c r="AB103" s="3"/>
      <c r="AE103" s="3"/>
      <c r="AK103" s="5"/>
    </row>
    <row r="104" spans="1:47" hidden="1" x14ac:dyDescent="0.25">
      <c r="A104" t="s">
        <v>63</v>
      </c>
      <c r="B104" s="1">
        <v>2713.2</v>
      </c>
      <c r="C104">
        <v>0</v>
      </c>
      <c r="D104">
        <v>0</v>
      </c>
      <c r="E104" s="2">
        <v>0</v>
      </c>
      <c r="F104">
        <v>122</v>
      </c>
      <c r="G104" s="3">
        <v>3200</v>
      </c>
      <c r="H104" s="3" t="s">
        <v>54</v>
      </c>
      <c r="I104" s="3" t="s">
        <v>59</v>
      </c>
      <c r="K104" s="3" t="s">
        <v>60</v>
      </c>
      <c r="L104" s="3" t="s">
        <v>60</v>
      </c>
      <c r="M104" s="3">
        <v>46048.487233796295</v>
      </c>
      <c r="Q104" t="s">
        <v>54</v>
      </c>
      <c r="R104">
        <v>0</v>
      </c>
      <c r="T104" t="s">
        <v>54</v>
      </c>
      <c r="U104" t="s">
        <v>54</v>
      </c>
      <c r="V104">
        <v>6379</v>
      </c>
      <c r="W104" t="s">
        <v>55</v>
      </c>
      <c r="X104" s="4"/>
      <c r="Z104" s="3"/>
      <c r="AB104" s="3"/>
      <c r="AD104" s="3"/>
      <c r="AE104" s="3"/>
      <c r="AK104" s="5"/>
    </row>
    <row r="105" spans="1:47" hidden="1" x14ac:dyDescent="0.25">
      <c r="A105" t="s">
        <v>47</v>
      </c>
      <c r="B105" s="1">
        <v>38478</v>
      </c>
      <c r="C105" t="s">
        <v>48</v>
      </c>
      <c r="D105" t="s">
        <v>49</v>
      </c>
      <c r="E105" s="2">
        <v>46048</v>
      </c>
      <c r="F105" t="s">
        <v>118</v>
      </c>
      <c r="G105" t="s">
        <v>119</v>
      </c>
      <c r="H105" s="3">
        <v>1648</v>
      </c>
      <c r="I105" s="3">
        <v>1648</v>
      </c>
      <c r="J105">
        <v>0</v>
      </c>
      <c r="K105" s="3">
        <v>1895.2</v>
      </c>
      <c r="L105" s="3">
        <v>256.60000000000002</v>
      </c>
      <c r="M105" s="3">
        <v>147.55000000000001</v>
      </c>
      <c r="N105" t="s">
        <v>77</v>
      </c>
      <c r="O105" t="s">
        <v>53</v>
      </c>
      <c r="P105" t="s">
        <v>53</v>
      </c>
      <c r="Q105" t="s">
        <v>53</v>
      </c>
      <c r="R105" t="s">
        <v>54</v>
      </c>
      <c r="S105" t="s">
        <v>54</v>
      </c>
      <c r="T105" t="s">
        <v>55</v>
      </c>
      <c r="U105">
        <v>83</v>
      </c>
      <c r="W105" t="s">
        <v>85</v>
      </c>
      <c r="X105" s="4">
        <v>0</v>
      </c>
      <c r="Y105" t="s">
        <v>58</v>
      </c>
      <c r="Z105" s="3">
        <v>0</v>
      </c>
      <c r="AA105">
        <v>0</v>
      </c>
      <c r="AB105" s="3">
        <v>256.60000000000002</v>
      </c>
      <c r="AC105">
        <v>0</v>
      </c>
      <c r="AD105">
        <v>0</v>
      </c>
      <c r="AE105" s="3">
        <v>200</v>
      </c>
      <c r="AF105" t="s">
        <v>54</v>
      </c>
      <c r="AG105" t="s">
        <v>59</v>
      </c>
      <c r="AI105" t="s">
        <v>80</v>
      </c>
      <c r="AJ105" t="s">
        <v>73</v>
      </c>
      <c r="AK105" s="5">
        <v>46048.551793981482</v>
      </c>
      <c r="AO105" t="s">
        <v>54</v>
      </c>
      <c r="AP105">
        <v>0</v>
      </c>
      <c r="AR105" t="s">
        <v>54</v>
      </c>
      <c r="AS105" t="s">
        <v>54</v>
      </c>
      <c r="AT105">
        <v>4900</v>
      </c>
      <c r="AU105" t="s">
        <v>55</v>
      </c>
    </row>
    <row r="106" spans="1:47" hidden="1" x14ac:dyDescent="0.25">
      <c r="A106" t="s">
        <v>47</v>
      </c>
      <c r="B106" s="1">
        <v>38479</v>
      </c>
      <c r="C106" t="s">
        <v>48</v>
      </c>
      <c r="D106" t="s">
        <v>49</v>
      </c>
      <c r="E106" s="2">
        <v>46048</v>
      </c>
      <c r="F106" t="s">
        <v>118</v>
      </c>
      <c r="G106" t="s">
        <v>119</v>
      </c>
      <c r="H106" s="3">
        <v>1648</v>
      </c>
      <c r="I106" s="3">
        <v>1648</v>
      </c>
      <c r="J106">
        <v>0</v>
      </c>
      <c r="K106" s="3">
        <v>1895.2</v>
      </c>
      <c r="L106" s="3">
        <v>256.60000000000002</v>
      </c>
      <c r="M106" s="3">
        <v>147.55000000000001</v>
      </c>
      <c r="N106" t="s">
        <v>77</v>
      </c>
      <c r="O106" t="s">
        <v>53</v>
      </c>
      <c r="P106" t="s">
        <v>53</v>
      </c>
      <c r="Q106" t="s">
        <v>53</v>
      </c>
      <c r="R106" t="s">
        <v>54</v>
      </c>
      <c r="S106" t="s">
        <v>54</v>
      </c>
      <c r="T106" t="s">
        <v>55</v>
      </c>
      <c r="U106">
        <v>83</v>
      </c>
      <c r="W106" t="s">
        <v>85</v>
      </c>
      <c r="X106" s="4">
        <v>0</v>
      </c>
      <c r="Y106" t="s">
        <v>58</v>
      </c>
      <c r="Z106" s="3">
        <v>0</v>
      </c>
      <c r="AA106">
        <v>0</v>
      </c>
      <c r="AB106">
        <v>256.60000000000002</v>
      </c>
      <c r="AC106">
        <v>0</v>
      </c>
      <c r="AD106" s="3">
        <v>0</v>
      </c>
      <c r="AE106" s="3">
        <v>200</v>
      </c>
      <c r="AF106" t="s">
        <v>54</v>
      </c>
      <c r="AG106" t="s">
        <v>59</v>
      </c>
      <c r="AI106" t="s">
        <v>80</v>
      </c>
      <c r="AJ106" t="s">
        <v>73</v>
      </c>
      <c r="AK106" s="5">
        <v>46048.551932870374</v>
      </c>
      <c r="AO106" t="s">
        <v>54</v>
      </c>
      <c r="AP106">
        <v>0</v>
      </c>
      <c r="AR106" t="s">
        <v>54</v>
      </c>
      <c r="AS106" t="s">
        <v>54</v>
      </c>
      <c r="AT106">
        <v>4900</v>
      </c>
      <c r="AU106" t="s">
        <v>55</v>
      </c>
    </row>
    <row r="107" spans="1:47" hidden="1" x14ac:dyDescent="0.25">
      <c r="A107" t="s">
        <v>47</v>
      </c>
      <c r="B107" s="1">
        <v>38480</v>
      </c>
      <c r="C107" t="s">
        <v>48</v>
      </c>
      <c r="D107" t="s">
        <v>49</v>
      </c>
      <c r="E107" s="2">
        <v>46049</v>
      </c>
      <c r="F107" t="s">
        <v>213</v>
      </c>
      <c r="G107" s="3" t="s">
        <v>137</v>
      </c>
      <c r="H107" s="3">
        <v>5655</v>
      </c>
      <c r="I107" s="3">
        <v>5655</v>
      </c>
      <c r="J107">
        <v>0</v>
      </c>
      <c r="K107" s="3">
        <v>6487.5</v>
      </c>
      <c r="L107" s="3">
        <v>1144.5</v>
      </c>
      <c r="M107" s="3">
        <v>420.03</v>
      </c>
      <c r="N107" t="s">
        <v>98</v>
      </c>
      <c r="O107" t="s">
        <v>53</v>
      </c>
      <c r="P107" t="s">
        <v>53</v>
      </c>
      <c r="Q107" t="s">
        <v>53</v>
      </c>
      <c r="R107" t="s">
        <v>54</v>
      </c>
      <c r="S107" t="s">
        <v>54</v>
      </c>
      <c r="T107" t="s">
        <v>55</v>
      </c>
      <c r="U107">
        <v>167</v>
      </c>
      <c r="V107" t="s">
        <v>99</v>
      </c>
      <c r="W107" t="s">
        <v>95</v>
      </c>
      <c r="X107" s="4">
        <v>0</v>
      </c>
      <c r="Y107" t="s">
        <v>62</v>
      </c>
      <c r="AB107" s="3"/>
      <c r="AE107" s="3"/>
      <c r="AK107" s="5"/>
    </row>
    <row r="108" spans="1:47" hidden="1" x14ac:dyDescent="0.25">
      <c r="A108" t="s">
        <v>63</v>
      </c>
      <c r="B108" s="1">
        <v>1144.5</v>
      </c>
      <c r="C108">
        <v>0</v>
      </c>
      <c r="D108">
        <v>0</v>
      </c>
      <c r="E108" s="2">
        <v>0</v>
      </c>
      <c r="F108">
        <v>0</v>
      </c>
      <c r="G108" s="3">
        <v>1501</v>
      </c>
      <c r="H108" s="3" t="s">
        <v>54</v>
      </c>
      <c r="I108" s="3" t="s">
        <v>59</v>
      </c>
      <c r="K108" s="3" t="s">
        <v>73</v>
      </c>
      <c r="L108" s="3" t="s">
        <v>73</v>
      </c>
      <c r="M108" s="3">
        <v>46049.55667824074</v>
      </c>
      <c r="Q108" t="s">
        <v>54</v>
      </c>
      <c r="R108">
        <v>0</v>
      </c>
      <c r="T108" t="s">
        <v>54</v>
      </c>
      <c r="U108" t="s">
        <v>54</v>
      </c>
      <c r="V108">
        <v>8587</v>
      </c>
      <c r="W108" t="s">
        <v>55</v>
      </c>
      <c r="X108" s="4"/>
      <c r="AB108" s="3"/>
      <c r="AE108" s="3"/>
      <c r="AK108" s="5"/>
    </row>
    <row r="109" spans="1:47" hidden="1" x14ac:dyDescent="0.25">
      <c r="A109" t="s">
        <v>96</v>
      </c>
      <c r="B109" s="1">
        <v>38481</v>
      </c>
      <c r="C109" t="s">
        <v>48</v>
      </c>
      <c r="D109" t="s">
        <v>49</v>
      </c>
      <c r="E109" s="2">
        <v>46049</v>
      </c>
      <c r="F109" t="s">
        <v>181</v>
      </c>
      <c r="G109" t="s">
        <v>166</v>
      </c>
      <c r="H109" s="3">
        <v>8712</v>
      </c>
      <c r="I109" s="3">
        <v>8712</v>
      </c>
      <c r="J109">
        <v>0</v>
      </c>
      <c r="K109" s="3">
        <v>8712</v>
      </c>
      <c r="L109" s="3">
        <v>1618.8</v>
      </c>
      <c r="M109" s="3">
        <v>760.84</v>
      </c>
      <c r="N109" t="s">
        <v>106</v>
      </c>
      <c r="O109" t="s">
        <v>53</v>
      </c>
      <c r="P109" t="s">
        <v>53</v>
      </c>
      <c r="Q109" t="s">
        <v>53</v>
      </c>
      <c r="R109" t="s">
        <v>54</v>
      </c>
      <c r="S109" t="s">
        <v>54</v>
      </c>
      <c r="T109" t="s">
        <v>55</v>
      </c>
      <c r="U109">
        <v>145</v>
      </c>
      <c r="V109" t="s">
        <v>99</v>
      </c>
      <c r="W109" t="s">
        <v>152</v>
      </c>
      <c r="X109" s="4">
        <v>0</v>
      </c>
      <c r="Y109" t="s">
        <v>58</v>
      </c>
      <c r="Z109">
        <v>0</v>
      </c>
      <c r="AA109">
        <v>0</v>
      </c>
      <c r="AB109">
        <v>0</v>
      </c>
      <c r="AC109">
        <v>0</v>
      </c>
      <c r="AD109" s="3">
        <v>1618.8</v>
      </c>
      <c r="AE109" s="3">
        <v>1200</v>
      </c>
      <c r="AF109" t="s">
        <v>54</v>
      </c>
      <c r="AG109" t="s">
        <v>59</v>
      </c>
      <c r="AI109" t="s">
        <v>73</v>
      </c>
      <c r="AJ109" t="s">
        <v>73</v>
      </c>
      <c r="AK109" s="5">
        <v>46049.616388888891</v>
      </c>
      <c r="AO109" t="s">
        <v>54</v>
      </c>
      <c r="AP109">
        <v>0</v>
      </c>
      <c r="AR109" t="s">
        <v>54</v>
      </c>
      <c r="AS109" t="s">
        <v>54</v>
      </c>
      <c r="AT109">
        <v>554</v>
      </c>
      <c r="AU109" t="s">
        <v>55</v>
      </c>
    </row>
    <row r="110" spans="1:47" hidden="1" x14ac:dyDescent="0.25">
      <c r="A110" t="s">
        <v>96</v>
      </c>
      <c r="B110" s="1">
        <v>38482</v>
      </c>
      <c r="C110" t="s">
        <v>48</v>
      </c>
      <c r="D110" t="s">
        <v>49</v>
      </c>
      <c r="E110" s="2">
        <v>46049</v>
      </c>
      <c r="F110" t="s">
        <v>181</v>
      </c>
      <c r="G110" t="s">
        <v>166</v>
      </c>
      <c r="H110" s="3">
        <v>8712</v>
      </c>
      <c r="I110" s="3">
        <v>8712</v>
      </c>
      <c r="J110">
        <v>0</v>
      </c>
      <c r="K110" s="3">
        <v>8712</v>
      </c>
      <c r="L110" s="3">
        <v>1618.8</v>
      </c>
      <c r="M110" s="3">
        <v>760.84</v>
      </c>
      <c r="N110" t="s">
        <v>106</v>
      </c>
      <c r="O110" t="s">
        <v>53</v>
      </c>
      <c r="P110" t="s">
        <v>53</v>
      </c>
      <c r="Q110" t="s">
        <v>53</v>
      </c>
      <c r="R110" t="s">
        <v>54</v>
      </c>
      <c r="S110" t="s">
        <v>54</v>
      </c>
      <c r="T110" t="s">
        <v>55</v>
      </c>
      <c r="U110">
        <v>145</v>
      </c>
      <c r="V110" t="s">
        <v>99</v>
      </c>
      <c r="W110" t="s">
        <v>152</v>
      </c>
      <c r="X110" s="4">
        <v>0</v>
      </c>
      <c r="Y110" t="s">
        <v>58</v>
      </c>
      <c r="Z110">
        <v>0</v>
      </c>
      <c r="AA110">
        <v>0</v>
      </c>
      <c r="AB110" s="3">
        <v>0</v>
      </c>
      <c r="AC110">
        <v>0</v>
      </c>
      <c r="AD110" s="3">
        <v>1618.8</v>
      </c>
      <c r="AE110" s="3">
        <v>1200</v>
      </c>
      <c r="AF110" t="s">
        <v>54</v>
      </c>
      <c r="AG110" t="s">
        <v>59</v>
      </c>
      <c r="AI110" t="s">
        <v>73</v>
      </c>
      <c r="AJ110" t="s">
        <v>73</v>
      </c>
      <c r="AK110" s="5">
        <v>46049.616527777776</v>
      </c>
      <c r="AO110" t="s">
        <v>54</v>
      </c>
      <c r="AP110">
        <v>0</v>
      </c>
      <c r="AR110" t="s">
        <v>54</v>
      </c>
      <c r="AS110" t="s">
        <v>54</v>
      </c>
      <c r="AT110">
        <v>554</v>
      </c>
      <c r="AU110" t="s">
        <v>55</v>
      </c>
    </row>
    <row r="111" spans="1:47" hidden="1" x14ac:dyDescent="0.25">
      <c r="A111" t="s">
        <v>47</v>
      </c>
      <c r="B111" s="1">
        <v>38483</v>
      </c>
      <c r="C111" t="s">
        <v>48</v>
      </c>
      <c r="D111" t="s">
        <v>49</v>
      </c>
      <c r="E111" s="2">
        <v>46049</v>
      </c>
      <c r="F111" t="s">
        <v>101</v>
      </c>
      <c r="G111" t="s">
        <v>94</v>
      </c>
      <c r="H111" s="3">
        <v>30260</v>
      </c>
      <c r="I111" s="3">
        <v>30260</v>
      </c>
      <c r="J111">
        <v>0</v>
      </c>
      <c r="K111" s="3">
        <v>34799</v>
      </c>
      <c r="L111" s="3">
        <v>5198</v>
      </c>
      <c r="M111" s="3">
        <v>2531.64</v>
      </c>
      <c r="N111" t="s">
        <v>84</v>
      </c>
      <c r="O111" t="s">
        <v>53</v>
      </c>
      <c r="P111" t="s">
        <v>53</v>
      </c>
      <c r="Q111" t="s">
        <v>53</v>
      </c>
      <c r="R111" t="s">
        <v>54</v>
      </c>
      <c r="S111" t="s">
        <v>54</v>
      </c>
      <c r="T111" t="s">
        <v>55</v>
      </c>
      <c r="U111">
        <v>9</v>
      </c>
      <c r="V111" t="s">
        <v>71</v>
      </c>
      <c r="W111" t="s">
        <v>102</v>
      </c>
      <c r="X111" s="4">
        <v>0</v>
      </c>
      <c r="Y111" t="s">
        <v>58</v>
      </c>
      <c r="Z111" s="3">
        <v>2507</v>
      </c>
      <c r="AA111" s="3">
        <v>0</v>
      </c>
      <c r="AB111" s="3">
        <v>2691</v>
      </c>
      <c r="AC111">
        <v>0</v>
      </c>
      <c r="AD111">
        <v>0</v>
      </c>
      <c r="AE111" s="3">
        <v>5000</v>
      </c>
      <c r="AF111" t="s">
        <v>54</v>
      </c>
      <c r="AG111" t="s">
        <v>59</v>
      </c>
      <c r="AH111" t="s">
        <v>103</v>
      </c>
      <c r="AI111" t="s">
        <v>92</v>
      </c>
      <c r="AJ111" t="s">
        <v>92</v>
      </c>
      <c r="AK111" s="5">
        <v>46049.618715277778</v>
      </c>
      <c r="AO111" t="s">
        <v>54</v>
      </c>
      <c r="AP111">
        <v>0</v>
      </c>
      <c r="AR111" t="s">
        <v>54</v>
      </c>
      <c r="AS111" t="s">
        <v>54</v>
      </c>
      <c r="AT111">
        <v>161</v>
      </c>
      <c r="AU111" t="s">
        <v>55</v>
      </c>
    </row>
    <row r="112" spans="1:47" hidden="1" x14ac:dyDescent="0.25">
      <c r="A112" t="s">
        <v>47</v>
      </c>
      <c r="B112" s="1">
        <v>38484</v>
      </c>
      <c r="C112" t="s">
        <v>48</v>
      </c>
      <c r="D112" t="s">
        <v>49</v>
      </c>
      <c r="E112" s="2">
        <v>46050</v>
      </c>
      <c r="F112" t="s">
        <v>191</v>
      </c>
      <c r="G112" t="s">
        <v>66</v>
      </c>
      <c r="H112" s="3">
        <v>5586</v>
      </c>
      <c r="I112" s="3">
        <v>5586</v>
      </c>
      <c r="J112">
        <v>0</v>
      </c>
      <c r="K112" s="3">
        <v>6423.9</v>
      </c>
      <c r="L112" s="3">
        <v>550.20000000000005</v>
      </c>
      <c r="M112" s="3">
        <v>330.12</v>
      </c>
      <c r="N112" t="s">
        <v>52</v>
      </c>
      <c r="O112" t="s">
        <v>53</v>
      </c>
      <c r="P112" t="s">
        <v>53</v>
      </c>
      <c r="Q112" t="s">
        <v>53</v>
      </c>
      <c r="R112" t="s">
        <v>54</v>
      </c>
      <c r="S112" t="s">
        <v>54</v>
      </c>
      <c r="T112" t="s">
        <v>55</v>
      </c>
      <c r="U112">
        <v>126</v>
      </c>
      <c r="V112" t="s">
        <v>56</v>
      </c>
      <c r="W112" t="s">
        <v>78</v>
      </c>
      <c r="X112" s="4">
        <v>0</v>
      </c>
      <c r="Y112" t="s">
        <v>62</v>
      </c>
      <c r="Z112" s="3"/>
      <c r="AB112" s="3"/>
      <c r="AD112" s="3"/>
      <c r="AE112" s="3"/>
      <c r="AK112" s="5"/>
    </row>
    <row r="113" spans="1:47" hidden="1" x14ac:dyDescent="0.25">
      <c r="A113" t="s">
        <v>63</v>
      </c>
      <c r="B113" s="1">
        <v>0</v>
      </c>
      <c r="C113">
        <v>0</v>
      </c>
      <c r="D113">
        <v>550.20000000000005</v>
      </c>
      <c r="E113" s="2">
        <v>0</v>
      </c>
      <c r="F113">
        <v>0</v>
      </c>
      <c r="G113">
        <v>300</v>
      </c>
      <c r="H113" s="3" t="s">
        <v>54</v>
      </c>
      <c r="I113" s="3" t="s">
        <v>59</v>
      </c>
      <c r="J113" t="s">
        <v>164</v>
      </c>
      <c r="K113" s="3" t="s">
        <v>60</v>
      </c>
      <c r="L113" s="3" t="s">
        <v>60</v>
      </c>
      <c r="M113" s="3">
        <v>46050.412604166668</v>
      </c>
      <c r="Q113" t="s">
        <v>54</v>
      </c>
      <c r="R113">
        <v>0</v>
      </c>
      <c r="T113" t="s">
        <v>54</v>
      </c>
      <c r="U113" t="s">
        <v>54</v>
      </c>
      <c r="V113">
        <v>5328</v>
      </c>
      <c r="W113" t="s">
        <v>55</v>
      </c>
      <c r="X113" s="4"/>
      <c r="Z113" s="3"/>
      <c r="AB113" s="3"/>
      <c r="AE113" s="3"/>
      <c r="AK113" s="5"/>
    </row>
    <row r="114" spans="1:47" hidden="1" x14ac:dyDescent="0.25">
      <c r="A114" t="s">
        <v>96</v>
      </c>
      <c r="B114" s="1">
        <v>38485</v>
      </c>
      <c r="C114" t="s">
        <v>48</v>
      </c>
      <c r="D114" t="s">
        <v>49</v>
      </c>
      <c r="E114" s="2">
        <v>46050</v>
      </c>
      <c r="F114" t="s">
        <v>209</v>
      </c>
      <c r="G114" s="3" t="s">
        <v>66</v>
      </c>
      <c r="H114" s="3">
        <v>870</v>
      </c>
      <c r="I114" s="3">
        <v>870</v>
      </c>
      <c r="J114">
        <v>0</v>
      </c>
      <c r="K114" s="3">
        <v>870</v>
      </c>
      <c r="L114" s="3">
        <v>175</v>
      </c>
      <c r="M114" s="3">
        <v>50.75</v>
      </c>
      <c r="N114" t="s">
        <v>52</v>
      </c>
      <c r="O114" t="s">
        <v>53</v>
      </c>
      <c r="P114" t="s">
        <v>53</v>
      </c>
      <c r="Q114" t="s">
        <v>53</v>
      </c>
      <c r="R114" t="s">
        <v>54</v>
      </c>
      <c r="S114" t="s">
        <v>54</v>
      </c>
      <c r="T114" t="s">
        <v>55</v>
      </c>
      <c r="U114">
        <v>126</v>
      </c>
      <c r="V114" t="s">
        <v>56</v>
      </c>
      <c r="W114" t="s">
        <v>72</v>
      </c>
      <c r="X114" s="4">
        <v>0</v>
      </c>
      <c r="Y114" t="s">
        <v>62</v>
      </c>
    </row>
    <row r="115" spans="1:47" hidden="1" x14ac:dyDescent="0.25">
      <c r="A115" t="s">
        <v>63</v>
      </c>
      <c r="B115" s="3">
        <v>175</v>
      </c>
      <c r="C115">
        <v>0</v>
      </c>
      <c r="D115">
        <v>0</v>
      </c>
      <c r="E115" s="2">
        <v>0</v>
      </c>
      <c r="F115">
        <v>0</v>
      </c>
      <c r="G115" s="3">
        <v>1000</v>
      </c>
      <c r="H115" s="3" t="s">
        <v>54</v>
      </c>
      <c r="I115" s="3" t="s">
        <v>59</v>
      </c>
      <c r="K115" s="3" t="s">
        <v>60</v>
      </c>
      <c r="L115" t="s">
        <v>73</v>
      </c>
      <c r="M115" s="3">
        <v>46050.464699074073</v>
      </c>
      <c r="Q115" t="s">
        <v>54</v>
      </c>
      <c r="R115">
        <v>0</v>
      </c>
      <c r="T115" t="s">
        <v>54</v>
      </c>
      <c r="U115" t="s">
        <v>54</v>
      </c>
      <c r="V115">
        <v>7228</v>
      </c>
      <c r="W115" t="s">
        <v>55</v>
      </c>
      <c r="X115" s="4"/>
      <c r="AK115" s="5"/>
    </row>
    <row r="116" spans="1:47" hidden="1" x14ac:dyDescent="0.25">
      <c r="A116" t="s">
        <v>96</v>
      </c>
      <c r="B116" s="1">
        <v>38486</v>
      </c>
      <c r="C116" t="s">
        <v>48</v>
      </c>
      <c r="D116" t="s">
        <v>49</v>
      </c>
      <c r="E116" s="2">
        <v>46050</v>
      </c>
      <c r="F116" t="s">
        <v>162</v>
      </c>
      <c r="G116" t="s">
        <v>66</v>
      </c>
      <c r="H116" s="3">
        <v>900</v>
      </c>
      <c r="I116" s="3">
        <v>900</v>
      </c>
      <c r="J116">
        <v>0</v>
      </c>
      <c r="K116" s="3">
        <v>900</v>
      </c>
      <c r="L116" s="3">
        <v>241</v>
      </c>
      <c r="M116" s="3">
        <v>69.89</v>
      </c>
      <c r="N116" t="s">
        <v>52</v>
      </c>
      <c r="O116" t="s">
        <v>53</v>
      </c>
      <c r="P116" t="s">
        <v>53</v>
      </c>
      <c r="Q116" t="s">
        <v>53</v>
      </c>
      <c r="R116" t="s">
        <v>54</v>
      </c>
      <c r="S116" t="s">
        <v>54</v>
      </c>
      <c r="T116" t="s">
        <v>55</v>
      </c>
      <c r="U116">
        <v>126</v>
      </c>
      <c r="V116" t="s">
        <v>56</v>
      </c>
      <c r="W116" t="s">
        <v>152</v>
      </c>
      <c r="X116" s="4">
        <v>0</v>
      </c>
      <c r="Y116" t="s">
        <v>58</v>
      </c>
      <c r="Z116">
        <v>241</v>
      </c>
      <c r="AA116">
        <v>0</v>
      </c>
      <c r="AB116">
        <v>0</v>
      </c>
      <c r="AC116">
        <v>0</v>
      </c>
      <c r="AD116" s="3">
        <v>0</v>
      </c>
      <c r="AE116" s="3">
        <v>1000</v>
      </c>
      <c r="AF116" t="s">
        <v>54</v>
      </c>
      <c r="AG116" t="s">
        <v>59</v>
      </c>
      <c r="AH116" t="s">
        <v>164</v>
      </c>
      <c r="AI116" t="s">
        <v>60</v>
      </c>
      <c r="AJ116" t="s">
        <v>60</v>
      </c>
      <c r="AK116" s="5">
        <v>46050.450312499997</v>
      </c>
      <c r="AO116" t="s">
        <v>54</v>
      </c>
      <c r="AP116">
        <v>0</v>
      </c>
      <c r="AR116" t="s">
        <v>54</v>
      </c>
      <c r="AS116" t="s">
        <v>54</v>
      </c>
      <c r="AT116">
        <v>5486</v>
      </c>
      <c r="AU116" t="s">
        <v>55</v>
      </c>
    </row>
    <row r="117" spans="1:47" hidden="1" x14ac:dyDescent="0.25">
      <c r="A117" t="s">
        <v>96</v>
      </c>
      <c r="B117" s="1">
        <v>38487</v>
      </c>
      <c r="C117" t="s">
        <v>48</v>
      </c>
      <c r="D117" t="s">
        <v>49</v>
      </c>
      <c r="E117" s="2">
        <v>46050</v>
      </c>
      <c r="F117" t="s">
        <v>169</v>
      </c>
      <c r="G117" t="s">
        <v>69</v>
      </c>
      <c r="H117" s="3">
        <v>20626</v>
      </c>
      <c r="I117" s="3">
        <v>20626</v>
      </c>
      <c r="J117">
        <v>0</v>
      </c>
      <c r="K117" s="3">
        <v>20626</v>
      </c>
      <c r="L117" s="3">
        <v>2928</v>
      </c>
      <c r="M117" s="3">
        <v>1548.3</v>
      </c>
      <c r="N117" t="s">
        <v>52</v>
      </c>
      <c r="O117" t="s">
        <v>53</v>
      </c>
      <c r="P117" t="s">
        <v>53</v>
      </c>
      <c r="Q117" t="s">
        <v>53</v>
      </c>
      <c r="R117" t="s">
        <v>54</v>
      </c>
      <c r="S117" t="s">
        <v>54</v>
      </c>
      <c r="T117" t="s">
        <v>55</v>
      </c>
      <c r="U117">
        <v>126</v>
      </c>
      <c r="V117" t="s">
        <v>56</v>
      </c>
      <c r="W117" t="s">
        <v>175</v>
      </c>
      <c r="X117" s="4">
        <v>0</v>
      </c>
      <c r="Y117" t="s">
        <v>62</v>
      </c>
      <c r="AD117" s="3"/>
      <c r="AE117" s="3"/>
      <c r="AK117" s="5"/>
    </row>
    <row r="118" spans="1:47" hidden="1" x14ac:dyDescent="0.25">
      <c r="A118" t="s">
        <v>63</v>
      </c>
      <c r="B118" s="1">
        <v>0</v>
      </c>
      <c r="C118">
        <v>0</v>
      </c>
      <c r="D118">
        <v>468</v>
      </c>
      <c r="E118" s="2">
        <v>0</v>
      </c>
      <c r="F118" s="3">
        <v>2460</v>
      </c>
      <c r="G118" s="3">
        <v>6000</v>
      </c>
      <c r="H118" s="3" t="s">
        <v>54</v>
      </c>
      <c r="I118" s="3" t="s">
        <v>59</v>
      </c>
      <c r="J118" t="s">
        <v>79</v>
      </c>
      <c r="K118" s="3" t="s">
        <v>60</v>
      </c>
      <c r="L118" s="3" t="s">
        <v>60</v>
      </c>
      <c r="M118" s="3">
        <v>46050.45449074074</v>
      </c>
      <c r="Q118" t="s">
        <v>54</v>
      </c>
      <c r="R118">
        <v>0</v>
      </c>
      <c r="T118" t="s">
        <v>54</v>
      </c>
      <c r="U118" t="s">
        <v>54</v>
      </c>
      <c r="V118">
        <v>8105</v>
      </c>
      <c r="W118" t="s">
        <v>55</v>
      </c>
      <c r="X118" s="4"/>
      <c r="Z118" s="3"/>
      <c r="AD118" s="3"/>
      <c r="AE118" s="3"/>
      <c r="AK118" s="5"/>
    </row>
    <row r="119" spans="1:47" hidden="1" x14ac:dyDescent="0.25">
      <c r="A119" t="s">
        <v>96</v>
      </c>
      <c r="B119" s="1">
        <v>38488</v>
      </c>
      <c r="C119" t="s">
        <v>48</v>
      </c>
      <c r="D119" t="s">
        <v>49</v>
      </c>
      <c r="E119" s="2">
        <v>46050</v>
      </c>
      <c r="F119" t="s">
        <v>169</v>
      </c>
      <c r="G119" t="s">
        <v>69</v>
      </c>
      <c r="H119" s="3">
        <v>20180</v>
      </c>
      <c r="I119" s="3">
        <v>20180</v>
      </c>
      <c r="J119">
        <v>0</v>
      </c>
      <c r="K119" s="3">
        <v>20180</v>
      </c>
      <c r="L119" s="3">
        <v>3021</v>
      </c>
      <c r="M119" s="3">
        <v>1495</v>
      </c>
      <c r="N119" t="s">
        <v>52</v>
      </c>
      <c r="O119" t="s">
        <v>53</v>
      </c>
      <c r="P119" t="s">
        <v>53</v>
      </c>
      <c r="Q119" t="s">
        <v>53</v>
      </c>
      <c r="R119" t="s">
        <v>54</v>
      </c>
      <c r="S119" t="s">
        <v>54</v>
      </c>
      <c r="T119" t="s">
        <v>55</v>
      </c>
      <c r="U119">
        <v>126</v>
      </c>
      <c r="V119" t="s">
        <v>56</v>
      </c>
      <c r="W119" t="s">
        <v>175</v>
      </c>
      <c r="X119" s="4">
        <v>0</v>
      </c>
      <c r="Y119" t="s">
        <v>62</v>
      </c>
      <c r="Z119" s="3"/>
      <c r="AD119" s="3"/>
      <c r="AE119" s="3"/>
      <c r="AK119" s="5"/>
    </row>
    <row r="120" spans="1:47" hidden="1" x14ac:dyDescent="0.25">
      <c r="A120" t="s">
        <v>63</v>
      </c>
      <c r="B120" s="1">
        <v>666</v>
      </c>
      <c r="C120">
        <v>0</v>
      </c>
      <c r="D120">
        <v>0</v>
      </c>
      <c r="E120" s="2">
        <v>0</v>
      </c>
      <c r="F120" s="3">
        <v>2355</v>
      </c>
      <c r="G120" s="3">
        <v>7000</v>
      </c>
      <c r="H120" s="3" t="s">
        <v>54</v>
      </c>
      <c r="I120" s="3" t="s">
        <v>59</v>
      </c>
      <c r="J120" t="s">
        <v>79</v>
      </c>
      <c r="K120" s="3" t="s">
        <v>60</v>
      </c>
      <c r="L120" s="3" t="s">
        <v>60</v>
      </c>
      <c r="M120" s="3">
        <v>46050.460289351853</v>
      </c>
      <c r="Q120" t="s">
        <v>54</v>
      </c>
      <c r="R120">
        <v>0</v>
      </c>
      <c r="T120" t="s">
        <v>54</v>
      </c>
      <c r="U120" t="s">
        <v>54</v>
      </c>
      <c r="V120">
        <v>8105</v>
      </c>
      <c r="W120" t="s">
        <v>55</v>
      </c>
      <c r="X120" s="4"/>
      <c r="Z120" s="3"/>
      <c r="AD120" s="3"/>
      <c r="AE120" s="3"/>
      <c r="AK120" s="5"/>
    </row>
    <row r="121" spans="1:47" hidden="1" x14ac:dyDescent="0.25">
      <c r="A121" t="s">
        <v>47</v>
      </c>
      <c r="B121" s="1">
        <v>38490</v>
      </c>
      <c r="C121" t="s">
        <v>48</v>
      </c>
      <c r="D121" t="s">
        <v>49</v>
      </c>
      <c r="E121" s="2">
        <v>46050</v>
      </c>
      <c r="F121" t="s">
        <v>211</v>
      </c>
      <c r="G121" t="s">
        <v>167</v>
      </c>
      <c r="H121" s="3">
        <v>7092</v>
      </c>
      <c r="I121" s="3">
        <v>7092</v>
      </c>
      <c r="J121">
        <v>0</v>
      </c>
      <c r="K121" s="3">
        <v>8155.8</v>
      </c>
      <c r="L121" s="3">
        <v>605.4</v>
      </c>
      <c r="M121" s="3">
        <v>386.25</v>
      </c>
      <c r="N121" t="s">
        <v>98</v>
      </c>
      <c r="O121" t="s">
        <v>53</v>
      </c>
      <c r="P121" t="s">
        <v>53</v>
      </c>
      <c r="Q121" t="s">
        <v>53</v>
      </c>
      <c r="R121" t="s">
        <v>54</v>
      </c>
      <c r="S121" t="s">
        <v>54</v>
      </c>
      <c r="T121" t="s">
        <v>55</v>
      </c>
      <c r="U121">
        <v>167</v>
      </c>
      <c r="V121" t="s">
        <v>99</v>
      </c>
      <c r="W121" t="s">
        <v>57</v>
      </c>
      <c r="X121" s="4">
        <v>0</v>
      </c>
      <c r="Y121" t="s">
        <v>62</v>
      </c>
      <c r="Z121" s="3"/>
      <c r="AD121" s="3"/>
      <c r="AE121" s="3"/>
      <c r="AK121" s="5"/>
    </row>
    <row r="122" spans="1:47" hidden="1" x14ac:dyDescent="0.25">
      <c r="A122" t="s">
        <v>63</v>
      </c>
      <c r="B122" s="1">
        <v>0</v>
      </c>
      <c r="C122">
        <v>0</v>
      </c>
      <c r="D122">
        <v>605.4</v>
      </c>
      <c r="E122" s="2">
        <v>0</v>
      </c>
      <c r="F122">
        <v>0</v>
      </c>
      <c r="G122">
        <v>375</v>
      </c>
      <c r="H122" s="3" t="s">
        <v>54</v>
      </c>
      <c r="I122" s="3" t="s">
        <v>59</v>
      </c>
      <c r="K122" s="3" t="s">
        <v>73</v>
      </c>
      <c r="L122" s="3" t="s">
        <v>73</v>
      </c>
      <c r="M122" s="3">
        <v>46051.318055555559</v>
      </c>
      <c r="Q122" t="s">
        <v>54</v>
      </c>
      <c r="R122">
        <v>0</v>
      </c>
      <c r="T122" t="s">
        <v>54</v>
      </c>
      <c r="U122" t="s">
        <v>54</v>
      </c>
      <c r="V122">
        <v>5904</v>
      </c>
      <c r="W122" t="s">
        <v>55</v>
      </c>
      <c r="X122" s="4"/>
      <c r="Z122" s="3"/>
      <c r="AD122" s="3"/>
      <c r="AE122" s="3"/>
      <c r="AK122" s="5"/>
    </row>
    <row r="123" spans="1:47" hidden="1" x14ac:dyDescent="0.25">
      <c r="A123" t="s">
        <v>47</v>
      </c>
      <c r="B123" s="1">
        <v>38491</v>
      </c>
      <c r="C123" t="s">
        <v>48</v>
      </c>
      <c r="D123" t="s">
        <v>49</v>
      </c>
      <c r="E123" s="2">
        <v>46051</v>
      </c>
      <c r="F123" t="s">
        <v>190</v>
      </c>
      <c r="G123" s="3" t="s">
        <v>69</v>
      </c>
      <c r="H123" s="3">
        <v>5837</v>
      </c>
      <c r="I123" s="3">
        <v>5837</v>
      </c>
      <c r="J123">
        <v>0</v>
      </c>
      <c r="K123" s="3">
        <v>6712.55</v>
      </c>
      <c r="L123" s="3">
        <v>1033.5</v>
      </c>
      <c r="M123" s="3">
        <v>476.44</v>
      </c>
      <c r="N123" t="s">
        <v>84</v>
      </c>
      <c r="O123" t="s">
        <v>53</v>
      </c>
      <c r="P123" t="s">
        <v>53</v>
      </c>
      <c r="Q123" t="s">
        <v>53</v>
      </c>
      <c r="R123" t="s">
        <v>54</v>
      </c>
      <c r="S123" t="s">
        <v>54</v>
      </c>
      <c r="T123" t="s">
        <v>55</v>
      </c>
      <c r="U123">
        <v>9</v>
      </c>
      <c r="V123" t="s">
        <v>71</v>
      </c>
      <c r="W123" t="s">
        <v>95</v>
      </c>
      <c r="X123" s="4">
        <v>0</v>
      </c>
      <c r="Y123" t="s">
        <v>58</v>
      </c>
      <c r="Z123" s="3">
        <v>0</v>
      </c>
      <c r="AA123" s="3">
        <v>1033.5</v>
      </c>
      <c r="AB123">
        <v>0</v>
      </c>
      <c r="AC123">
        <v>0</v>
      </c>
      <c r="AD123" s="3">
        <v>0</v>
      </c>
      <c r="AE123" s="3">
        <v>1300</v>
      </c>
      <c r="AF123" t="s">
        <v>54</v>
      </c>
      <c r="AG123" t="s">
        <v>59</v>
      </c>
      <c r="AI123" t="s">
        <v>73</v>
      </c>
      <c r="AJ123" t="s">
        <v>73</v>
      </c>
      <c r="AK123" s="5">
        <v>46051.317708333336</v>
      </c>
      <c r="AO123" t="s">
        <v>54</v>
      </c>
      <c r="AP123">
        <v>0</v>
      </c>
      <c r="AR123" t="s">
        <v>54</v>
      </c>
      <c r="AS123" t="s">
        <v>54</v>
      </c>
      <c r="AT123">
        <v>3723</v>
      </c>
      <c r="AU123" t="s">
        <v>55</v>
      </c>
    </row>
    <row r="124" spans="1:47" hidden="1" x14ac:dyDescent="0.25">
      <c r="A124" t="s">
        <v>96</v>
      </c>
      <c r="B124" s="1">
        <v>38492</v>
      </c>
      <c r="C124" t="s">
        <v>48</v>
      </c>
      <c r="D124" t="s">
        <v>49</v>
      </c>
      <c r="E124" s="2">
        <v>46051</v>
      </c>
      <c r="F124" t="s">
        <v>162</v>
      </c>
      <c r="G124" t="s">
        <v>66</v>
      </c>
      <c r="H124" s="3">
        <v>8706.5</v>
      </c>
      <c r="I124" s="3">
        <v>8706.5</v>
      </c>
      <c r="J124">
        <v>0</v>
      </c>
      <c r="K124" s="3">
        <v>8706.5</v>
      </c>
      <c r="L124" s="3">
        <v>2429.61</v>
      </c>
      <c r="M124" s="3">
        <v>748.7</v>
      </c>
      <c r="N124" t="s">
        <v>52</v>
      </c>
      <c r="O124" t="s">
        <v>53</v>
      </c>
      <c r="P124" t="s">
        <v>53</v>
      </c>
      <c r="Q124" t="s">
        <v>53</v>
      </c>
      <c r="R124" t="s">
        <v>54</v>
      </c>
      <c r="S124" t="s">
        <v>54</v>
      </c>
      <c r="T124" t="s">
        <v>55</v>
      </c>
      <c r="U124">
        <v>126</v>
      </c>
      <c r="V124" t="s">
        <v>56</v>
      </c>
      <c r="W124" t="s">
        <v>142</v>
      </c>
      <c r="X124" s="4">
        <v>0</v>
      </c>
      <c r="Y124" t="s">
        <v>58</v>
      </c>
      <c r="Z124" s="3">
        <v>2285.0100000000002</v>
      </c>
      <c r="AA124">
        <v>0</v>
      </c>
      <c r="AB124">
        <v>144.6</v>
      </c>
      <c r="AC124">
        <v>0</v>
      </c>
      <c r="AD124">
        <v>0</v>
      </c>
      <c r="AE124" s="3">
        <v>15770</v>
      </c>
      <c r="AF124" t="s">
        <v>54</v>
      </c>
      <c r="AG124" t="s">
        <v>59</v>
      </c>
      <c r="AH124" t="s">
        <v>164</v>
      </c>
      <c r="AI124" t="s">
        <v>60</v>
      </c>
      <c r="AJ124" t="s">
        <v>60</v>
      </c>
      <c r="AK124" s="5">
        <v>46051.685995370368</v>
      </c>
      <c r="AO124" t="s">
        <v>54</v>
      </c>
      <c r="AP124">
        <v>0</v>
      </c>
      <c r="AR124" t="s">
        <v>54</v>
      </c>
      <c r="AS124" t="s">
        <v>54</v>
      </c>
      <c r="AT124">
        <v>5486</v>
      </c>
      <c r="AU124" t="s">
        <v>55</v>
      </c>
    </row>
    <row r="125" spans="1:47" hidden="1" x14ac:dyDescent="0.25">
      <c r="A125" t="s">
        <v>96</v>
      </c>
      <c r="B125" s="1">
        <v>38493</v>
      </c>
      <c r="C125" t="s">
        <v>48</v>
      </c>
      <c r="D125" s="3" t="s">
        <v>49</v>
      </c>
      <c r="E125" s="2">
        <v>46051</v>
      </c>
      <c r="F125" t="s">
        <v>202</v>
      </c>
      <c r="G125" s="3" t="s">
        <v>51</v>
      </c>
      <c r="H125" s="3">
        <v>2288</v>
      </c>
      <c r="I125" s="3">
        <v>2288</v>
      </c>
      <c r="J125">
        <v>0</v>
      </c>
      <c r="K125" s="3">
        <v>2288</v>
      </c>
      <c r="L125" s="3">
        <v>329.6</v>
      </c>
      <c r="M125" s="3">
        <v>210.28</v>
      </c>
      <c r="N125" t="s">
        <v>52</v>
      </c>
      <c r="O125" t="s">
        <v>53</v>
      </c>
      <c r="P125" t="s">
        <v>53</v>
      </c>
      <c r="Q125" t="s">
        <v>53</v>
      </c>
      <c r="R125" t="s">
        <v>54</v>
      </c>
      <c r="S125" t="s">
        <v>54</v>
      </c>
      <c r="T125" t="s">
        <v>55</v>
      </c>
      <c r="U125">
        <v>126</v>
      </c>
      <c r="V125" t="s">
        <v>56</v>
      </c>
      <c r="W125" t="s">
        <v>117</v>
      </c>
      <c r="X125" s="4">
        <v>0</v>
      </c>
      <c r="Y125" t="s">
        <v>62</v>
      </c>
      <c r="AB125" s="3"/>
      <c r="AE125" s="3"/>
      <c r="AK125" s="5"/>
    </row>
    <row r="126" spans="1:47" hidden="1" x14ac:dyDescent="0.25">
      <c r="A126" t="s">
        <v>63</v>
      </c>
      <c r="B126" s="1">
        <v>0</v>
      </c>
      <c r="C126">
        <v>0</v>
      </c>
      <c r="D126">
        <v>329.6</v>
      </c>
      <c r="E126" s="2">
        <v>0</v>
      </c>
      <c r="F126">
        <v>0</v>
      </c>
      <c r="G126">
        <v>800</v>
      </c>
      <c r="H126" s="3" t="s">
        <v>54</v>
      </c>
      <c r="I126" s="3" t="s">
        <v>59</v>
      </c>
      <c r="K126" s="3" t="s">
        <v>60</v>
      </c>
      <c r="L126" s="3" t="s">
        <v>60</v>
      </c>
      <c r="M126" s="3">
        <v>46051.468425925923</v>
      </c>
      <c r="Q126" t="s">
        <v>54</v>
      </c>
      <c r="R126">
        <v>0</v>
      </c>
      <c r="T126" t="s">
        <v>54</v>
      </c>
      <c r="U126" t="s">
        <v>54</v>
      </c>
      <c r="V126">
        <v>7429</v>
      </c>
      <c r="W126" t="s">
        <v>55</v>
      </c>
      <c r="X126" s="4"/>
      <c r="AB126" s="3"/>
      <c r="AE126" s="3"/>
      <c r="AK126" s="5"/>
    </row>
    <row r="127" spans="1:47" hidden="1" x14ac:dyDescent="0.25">
      <c r="A127" t="s">
        <v>47</v>
      </c>
      <c r="B127" s="1">
        <v>38494</v>
      </c>
      <c r="C127" t="s">
        <v>48</v>
      </c>
      <c r="D127" t="s">
        <v>49</v>
      </c>
      <c r="E127" s="2">
        <v>46051</v>
      </c>
      <c r="F127" t="s">
        <v>186</v>
      </c>
      <c r="G127" t="s">
        <v>69</v>
      </c>
      <c r="H127" s="3">
        <v>6036</v>
      </c>
      <c r="I127" s="3">
        <v>6036</v>
      </c>
      <c r="J127">
        <v>0</v>
      </c>
      <c r="K127" s="3">
        <v>6941.4</v>
      </c>
      <c r="L127" s="3">
        <v>1290.5999999999999</v>
      </c>
      <c r="M127" s="3">
        <v>419.45</v>
      </c>
      <c r="N127" t="s">
        <v>77</v>
      </c>
      <c r="O127" t="s">
        <v>53</v>
      </c>
      <c r="P127" t="s">
        <v>53</v>
      </c>
      <c r="Q127" t="s">
        <v>53</v>
      </c>
      <c r="R127" t="s">
        <v>54</v>
      </c>
      <c r="S127" t="s">
        <v>54</v>
      </c>
      <c r="T127" t="s">
        <v>55</v>
      </c>
      <c r="U127">
        <v>83</v>
      </c>
      <c r="V127" t="s">
        <v>121</v>
      </c>
      <c r="W127" t="s">
        <v>95</v>
      </c>
      <c r="X127" s="4">
        <v>0</v>
      </c>
      <c r="Y127" t="s">
        <v>62</v>
      </c>
      <c r="AB127" s="3"/>
      <c r="AE127" s="3"/>
      <c r="AK127" s="5"/>
    </row>
    <row r="128" spans="1:47" hidden="1" x14ac:dyDescent="0.25">
      <c r="A128" t="s">
        <v>63</v>
      </c>
      <c r="B128" s="1">
        <v>1290.5999999999999</v>
      </c>
      <c r="C128">
        <v>0</v>
      </c>
      <c r="D128">
        <v>0</v>
      </c>
      <c r="E128" s="2">
        <v>0</v>
      </c>
      <c r="F128">
        <v>0</v>
      </c>
      <c r="G128" s="3">
        <v>1200</v>
      </c>
      <c r="H128" s="3" t="s">
        <v>54</v>
      </c>
      <c r="I128" s="3" t="s">
        <v>59</v>
      </c>
      <c r="K128" s="3" t="s">
        <v>80</v>
      </c>
      <c r="L128" s="3" t="s">
        <v>73</v>
      </c>
      <c r="M128" s="3">
        <v>46051.603935185187</v>
      </c>
      <c r="Q128" t="s">
        <v>54</v>
      </c>
      <c r="R128">
        <v>0</v>
      </c>
      <c r="T128" t="s">
        <v>54</v>
      </c>
      <c r="U128" t="s">
        <v>54</v>
      </c>
      <c r="V128">
        <v>4126</v>
      </c>
      <c r="W128" t="s">
        <v>55</v>
      </c>
      <c r="X128" s="4"/>
      <c r="Z128" s="3"/>
      <c r="AB128" s="3"/>
      <c r="AE128" s="3"/>
      <c r="AK128" s="5"/>
    </row>
    <row r="129" spans="1:47" hidden="1" x14ac:dyDescent="0.25">
      <c r="A129" t="s">
        <v>96</v>
      </c>
      <c r="B129" s="1">
        <v>38495</v>
      </c>
      <c r="C129" t="s">
        <v>48</v>
      </c>
      <c r="D129" t="s">
        <v>49</v>
      </c>
      <c r="E129" s="2">
        <v>46051</v>
      </c>
      <c r="F129" t="s">
        <v>208</v>
      </c>
      <c r="G129" s="3" t="s">
        <v>119</v>
      </c>
      <c r="H129" s="3">
        <v>3820</v>
      </c>
      <c r="I129" s="3">
        <v>3820</v>
      </c>
      <c r="J129">
        <v>0</v>
      </c>
      <c r="K129" s="3">
        <v>3820</v>
      </c>
      <c r="L129" s="3">
        <v>690.5</v>
      </c>
      <c r="M129" s="3">
        <v>303.3</v>
      </c>
      <c r="N129" t="s">
        <v>52</v>
      </c>
      <c r="O129" t="s">
        <v>53</v>
      </c>
      <c r="P129" t="s">
        <v>53</v>
      </c>
      <c r="Q129" t="s">
        <v>53</v>
      </c>
      <c r="R129" t="s">
        <v>54</v>
      </c>
      <c r="S129" t="s">
        <v>54</v>
      </c>
      <c r="T129" t="s">
        <v>55</v>
      </c>
      <c r="U129">
        <v>126</v>
      </c>
      <c r="V129" t="s">
        <v>56</v>
      </c>
      <c r="W129" t="s">
        <v>72</v>
      </c>
      <c r="X129" s="4">
        <v>0</v>
      </c>
      <c r="Y129" t="s">
        <v>174</v>
      </c>
      <c r="Z129">
        <v>118</v>
      </c>
      <c r="AA129">
        <v>0</v>
      </c>
      <c r="AB129" s="3">
        <v>0</v>
      </c>
      <c r="AC129">
        <v>0</v>
      </c>
      <c r="AD129">
        <v>572.5</v>
      </c>
      <c r="AE129" s="3">
        <v>1500</v>
      </c>
      <c r="AF129" t="s">
        <v>54</v>
      </c>
      <c r="AG129" t="s">
        <v>59</v>
      </c>
      <c r="AI129" t="s">
        <v>60</v>
      </c>
      <c r="AJ129" t="s">
        <v>60</v>
      </c>
      <c r="AK129" s="5">
        <v>46051.548159722224</v>
      </c>
      <c r="AO129" t="s">
        <v>54</v>
      </c>
      <c r="AP129">
        <v>0</v>
      </c>
      <c r="AR129" t="s">
        <v>54</v>
      </c>
      <c r="AS129" t="s">
        <v>54</v>
      </c>
      <c r="AT129">
        <v>4075</v>
      </c>
      <c r="AU129" t="s">
        <v>55</v>
      </c>
    </row>
    <row r="130" spans="1:47" hidden="1" x14ac:dyDescent="0.25">
      <c r="A130" t="s">
        <v>47</v>
      </c>
      <c r="B130" s="1">
        <v>38496</v>
      </c>
      <c r="C130" t="s">
        <v>48</v>
      </c>
      <c r="D130" t="s">
        <v>49</v>
      </c>
      <c r="E130" s="2">
        <v>46051</v>
      </c>
      <c r="F130" t="s">
        <v>185</v>
      </c>
      <c r="G130" t="s">
        <v>167</v>
      </c>
      <c r="H130" s="3">
        <v>12295</v>
      </c>
      <c r="I130" s="3">
        <v>12295</v>
      </c>
      <c r="J130">
        <v>0</v>
      </c>
      <c r="K130" s="3">
        <v>14056.75</v>
      </c>
      <c r="L130" s="3">
        <v>1797</v>
      </c>
      <c r="M130" s="3">
        <v>954.78</v>
      </c>
      <c r="N130" t="s">
        <v>77</v>
      </c>
      <c r="O130" t="s">
        <v>53</v>
      </c>
      <c r="P130" t="s">
        <v>53</v>
      </c>
      <c r="Q130" t="s">
        <v>53</v>
      </c>
      <c r="R130" t="s">
        <v>54</v>
      </c>
      <c r="S130" t="s">
        <v>54</v>
      </c>
      <c r="T130" t="s">
        <v>55</v>
      </c>
      <c r="U130">
        <v>83</v>
      </c>
      <c r="V130" t="s">
        <v>176</v>
      </c>
      <c r="W130" t="s">
        <v>175</v>
      </c>
      <c r="X130" s="4">
        <v>0</v>
      </c>
      <c r="Y130" t="s">
        <v>62</v>
      </c>
    </row>
    <row r="131" spans="1:47" hidden="1" x14ac:dyDescent="0.25">
      <c r="A131" t="s">
        <v>63</v>
      </c>
      <c r="B131" s="3">
        <v>771</v>
      </c>
      <c r="C131">
        <v>0</v>
      </c>
      <c r="D131" s="3">
        <v>1026</v>
      </c>
      <c r="E131">
        <v>0</v>
      </c>
      <c r="F131">
        <v>0</v>
      </c>
      <c r="G131" s="3">
        <v>2501</v>
      </c>
      <c r="H131" t="s">
        <v>54</v>
      </c>
      <c r="I131" t="s">
        <v>59</v>
      </c>
      <c r="K131" t="s">
        <v>80</v>
      </c>
      <c r="L131" t="s">
        <v>73</v>
      </c>
      <c r="M131" s="3">
        <v>46052.339131944442</v>
      </c>
      <c r="Q131" t="s">
        <v>54</v>
      </c>
      <c r="R131">
        <v>0</v>
      </c>
      <c r="T131" t="s">
        <v>54</v>
      </c>
      <c r="U131" t="s">
        <v>54</v>
      </c>
      <c r="V131">
        <v>7023</v>
      </c>
      <c r="W131" t="s">
        <v>55</v>
      </c>
    </row>
    <row r="132" spans="1:47" hidden="1" x14ac:dyDescent="0.25">
      <c r="A132" t="s">
        <v>81</v>
      </c>
      <c r="B132" s="1">
        <v>38497</v>
      </c>
      <c r="C132" t="s">
        <v>48</v>
      </c>
      <c r="D132" t="s">
        <v>49</v>
      </c>
      <c r="E132" s="2">
        <v>46051</v>
      </c>
      <c r="F132" t="s">
        <v>197</v>
      </c>
      <c r="G132" t="s">
        <v>69</v>
      </c>
      <c r="H132" s="3">
        <v>3378.2</v>
      </c>
      <c r="I132" s="3">
        <v>3378.2</v>
      </c>
      <c r="J132">
        <v>0</v>
      </c>
      <c r="K132" s="3">
        <v>3378.2</v>
      </c>
      <c r="L132">
        <v>571.14</v>
      </c>
      <c r="M132" s="3">
        <v>328.41</v>
      </c>
      <c r="N132" t="s">
        <v>77</v>
      </c>
      <c r="O132" t="s">
        <v>53</v>
      </c>
      <c r="P132" t="s">
        <v>53</v>
      </c>
      <c r="Q132" t="s">
        <v>53</v>
      </c>
      <c r="R132" t="s">
        <v>54</v>
      </c>
      <c r="S132" t="s">
        <v>54</v>
      </c>
      <c r="T132" t="s">
        <v>55</v>
      </c>
      <c r="U132">
        <v>83</v>
      </c>
      <c r="V132" t="s">
        <v>121</v>
      </c>
      <c r="W132" t="s">
        <v>194</v>
      </c>
      <c r="X132" s="4">
        <v>0</v>
      </c>
      <c r="Y132" t="s">
        <v>62</v>
      </c>
    </row>
    <row r="133" spans="1:47" hidden="1" x14ac:dyDescent="0.25">
      <c r="A133" t="s">
        <v>63</v>
      </c>
      <c r="B133">
        <v>0</v>
      </c>
      <c r="C133">
        <v>0</v>
      </c>
      <c r="D133">
        <v>571.14</v>
      </c>
      <c r="E133">
        <v>0</v>
      </c>
      <c r="F133">
        <v>0</v>
      </c>
      <c r="G133" s="3">
        <v>380</v>
      </c>
      <c r="H133" t="s">
        <v>54</v>
      </c>
      <c r="I133" t="s">
        <v>59</v>
      </c>
      <c r="K133" t="s">
        <v>80</v>
      </c>
      <c r="L133" t="s">
        <v>73</v>
      </c>
      <c r="M133" s="3">
        <v>46051.687615740739</v>
      </c>
      <c r="Q133" t="s">
        <v>54</v>
      </c>
      <c r="R133">
        <v>0</v>
      </c>
      <c r="T133" t="s">
        <v>54</v>
      </c>
      <c r="U133" t="s">
        <v>54</v>
      </c>
      <c r="V133">
        <v>8443</v>
      </c>
      <c r="W133" t="s">
        <v>55</v>
      </c>
    </row>
    <row r="134" spans="1:47" hidden="1" x14ac:dyDescent="0.25">
      <c r="A134" t="s">
        <v>47</v>
      </c>
      <c r="B134" s="1">
        <v>38498</v>
      </c>
      <c r="C134" t="s">
        <v>48</v>
      </c>
      <c r="D134" t="s">
        <v>49</v>
      </c>
      <c r="E134" s="2">
        <v>46051</v>
      </c>
      <c r="F134" t="s">
        <v>61</v>
      </c>
      <c r="G134" t="s">
        <v>51</v>
      </c>
      <c r="H134" s="3">
        <v>12152</v>
      </c>
      <c r="I134" s="3">
        <v>12152</v>
      </c>
      <c r="J134">
        <v>0</v>
      </c>
      <c r="K134" s="3">
        <v>13974.8</v>
      </c>
      <c r="L134" s="3">
        <v>1496.8</v>
      </c>
      <c r="M134" s="3">
        <v>921.11</v>
      </c>
      <c r="N134" t="s">
        <v>52</v>
      </c>
      <c r="O134" t="s">
        <v>53</v>
      </c>
      <c r="P134" t="s">
        <v>53</v>
      </c>
      <c r="Q134" t="s">
        <v>53</v>
      </c>
      <c r="R134" t="s">
        <v>54</v>
      </c>
      <c r="S134" t="s">
        <v>54</v>
      </c>
      <c r="T134" t="s">
        <v>55</v>
      </c>
      <c r="U134">
        <v>126</v>
      </c>
      <c r="V134" t="s">
        <v>56</v>
      </c>
      <c r="W134" t="s">
        <v>57</v>
      </c>
      <c r="X134" s="4">
        <v>0</v>
      </c>
      <c r="Y134" t="s">
        <v>62</v>
      </c>
      <c r="AK134" s="5"/>
    </row>
    <row r="135" spans="1:47" hidden="1" x14ac:dyDescent="0.25">
      <c r="A135" t="s">
        <v>63</v>
      </c>
      <c r="B135" s="1">
        <v>142.19999999999999</v>
      </c>
      <c r="C135">
        <v>0</v>
      </c>
      <c r="D135" s="3">
        <v>1354.6</v>
      </c>
      <c r="E135" s="2">
        <v>0</v>
      </c>
      <c r="F135">
        <v>0</v>
      </c>
      <c r="G135" s="3">
        <v>2000</v>
      </c>
      <c r="H135" s="3" t="s">
        <v>54</v>
      </c>
      <c r="I135" s="3" t="s">
        <v>59</v>
      </c>
      <c r="J135" t="s">
        <v>64</v>
      </c>
      <c r="K135" s="3" t="s">
        <v>60</v>
      </c>
      <c r="L135" s="3" t="s">
        <v>60</v>
      </c>
      <c r="M135" s="3">
        <v>46051.691655092596</v>
      </c>
      <c r="Q135" t="s">
        <v>54</v>
      </c>
      <c r="R135">
        <v>0</v>
      </c>
      <c r="T135" t="s">
        <v>54</v>
      </c>
      <c r="U135" t="s">
        <v>54</v>
      </c>
      <c r="V135">
        <v>7006</v>
      </c>
      <c r="W135" t="s">
        <v>55</v>
      </c>
      <c r="X135" s="4"/>
      <c r="Z135" s="3"/>
      <c r="AE135" s="3"/>
      <c r="AK135" s="5"/>
    </row>
    <row r="136" spans="1:47" hidden="1" x14ac:dyDescent="0.25">
      <c r="A136" t="s">
        <v>47</v>
      </c>
      <c r="B136" s="1">
        <v>38499</v>
      </c>
      <c r="C136" t="s">
        <v>48</v>
      </c>
      <c r="D136" t="s">
        <v>49</v>
      </c>
      <c r="E136" s="2">
        <v>46051</v>
      </c>
      <c r="F136" t="s">
        <v>50</v>
      </c>
      <c r="G136" t="s">
        <v>51</v>
      </c>
      <c r="H136" s="3">
        <v>5276</v>
      </c>
      <c r="I136" s="3">
        <v>5276</v>
      </c>
      <c r="J136">
        <v>0</v>
      </c>
      <c r="K136" s="3">
        <v>6067.4</v>
      </c>
      <c r="L136" s="3">
        <v>1029.5999999999999</v>
      </c>
      <c r="M136" s="3">
        <v>401.54</v>
      </c>
      <c r="N136" t="s">
        <v>52</v>
      </c>
      <c r="O136" t="s">
        <v>53</v>
      </c>
      <c r="P136" t="s">
        <v>53</v>
      </c>
      <c r="Q136" t="s">
        <v>53</v>
      </c>
      <c r="R136" t="s">
        <v>54</v>
      </c>
      <c r="S136" t="s">
        <v>54</v>
      </c>
      <c r="T136" t="s">
        <v>55</v>
      </c>
      <c r="U136">
        <v>126</v>
      </c>
      <c r="V136" t="s">
        <v>56</v>
      </c>
      <c r="W136" t="s">
        <v>57</v>
      </c>
      <c r="X136" s="4">
        <v>0</v>
      </c>
      <c r="Y136" t="s">
        <v>58</v>
      </c>
      <c r="Z136" s="3">
        <v>1029.5999999999999</v>
      </c>
      <c r="AA136">
        <v>0</v>
      </c>
      <c r="AB136">
        <v>0</v>
      </c>
      <c r="AC136">
        <v>0</v>
      </c>
      <c r="AD136">
        <v>0</v>
      </c>
      <c r="AE136">
        <v>400</v>
      </c>
      <c r="AF136" t="s">
        <v>54</v>
      </c>
      <c r="AG136" t="s">
        <v>59</v>
      </c>
      <c r="AI136" t="s">
        <v>60</v>
      </c>
      <c r="AJ136" t="s">
        <v>60</v>
      </c>
      <c r="AK136" s="5">
        <v>46051.677627314813</v>
      </c>
      <c r="AO136" t="s">
        <v>54</v>
      </c>
      <c r="AP136">
        <v>0</v>
      </c>
      <c r="AR136" t="s">
        <v>54</v>
      </c>
      <c r="AS136" t="s">
        <v>54</v>
      </c>
      <c r="AT136">
        <v>6611</v>
      </c>
      <c r="AU136" t="s">
        <v>55</v>
      </c>
    </row>
    <row r="137" spans="1:47" hidden="1" x14ac:dyDescent="0.25">
      <c r="A137" t="s">
        <v>47</v>
      </c>
      <c r="B137" s="3">
        <v>38500</v>
      </c>
      <c r="C137" t="s">
        <v>48</v>
      </c>
      <c r="D137" t="s">
        <v>49</v>
      </c>
      <c r="E137" s="2">
        <v>46052</v>
      </c>
      <c r="F137" t="s">
        <v>178</v>
      </c>
      <c r="G137" s="3" t="s">
        <v>124</v>
      </c>
      <c r="H137" s="3">
        <v>14119.82</v>
      </c>
      <c r="I137" s="3">
        <v>14119.82</v>
      </c>
      <c r="J137">
        <v>0</v>
      </c>
      <c r="K137" s="3">
        <v>16237.79</v>
      </c>
      <c r="L137" s="3">
        <v>1573.08</v>
      </c>
      <c r="M137" s="3">
        <v>1046.56</v>
      </c>
      <c r="N137" t="s">
        <v>75</v>
      </c>
      <c r="O137" t="s">
        <v>53</v>
      </c>
      <c r="P137" t="s">
        <v>53</v>
      </c>
      <c r="Q137" t="s">
        <v>53</v>
      </c>
      <c r="R137" t="s">
        <v>54</v>
      </c>
      <c r="S137" t="s">
        <v>54</v>
      </c>
      <c r="T137" t="s">
        <v>55</v>
      </c>
      <c r="U137">
        <v>43</v>
      </c>
      <c r="W137" t="s">
        <v>72</v>
      </c>
      <c r="X137" s="4">
        <v>0</v>
      </c>
      <c r="Y137" t="s">
        <v>58</v>
      </c>
      <c r="Z137">
        <v>0</v>
      </c>
      <c r="AA137">
        <v>0</v>
      </c>
      <c r="AB137" s="3">
        <v>1573.08</v>
      </c>
      <c r="AC137">
        <v>0</v>
      </c>
      <c r="AD137">
        <v>0</v>
      </c>
      <c r="AE137" s="3">
        <v>1156</v>
      </c>
      <c r="AF137" t="s">
        <v>54</v>
      </c>
      <c r="AG137" t="s">
        <v>59</v>
      </c>
      <c r="AI137" t="s">
        <v>73</v>
      </c>
      <c r="AJ137" t="s">
        <v>73</v>
      </c>
      <c r="AK137" s="5">
        <v>46052.438414351855</v>
      </c>
      <c r="AO137" t="s">
        <v>54</v>
      </c>
      <c r="AP137">
        <v>0</v>
      </c>
      <c r="AR137" t="s">
        <v>54</v>
      </c>
      <c r="AS137" t="s">
        <v>54</v>
      </c>
      <c r="AT137">
        <v>4694</v>
      </c>
      <c r="AU137" t="s">
        <v>55</v>
      </c>
    </row>
    <row r="138" spans="1:47" hidden="1" x14ac:dyDescent="0.25">
      <c r="A138" t="s">
        <v>47</v>
      </c>
      <c r="B138" s="1">
        <v>38501</v>
      </c>
      <c r="C138" t="s">
        <v>48</v>
      </c>
      <c r="D138" t="s">
        <v>49</v>
      </c>
      <c r="E138" s="2">
        <v>46052</v>
      </c>
      <c r="F138" t="s">
        <v>108</v>
      </c>
      <c r="G138" t="s">
        <v>109</v>
      </c>
      <c r="H138" s="3">
        <v>2690</v>
      </c>
      <c r="I138" s="3">
        <v>2690</v>
      </c>
      <c r="J138">
        <v>0</v>
      </c>
      <c r="K138" s="3">
        <v>2690</v>
      </c>
      <c r="L138" s="3">
        <v>339</v>
      </c>
      <c r="M138" s="3">
        <v>216.28</v>
      </c>
      <c r="N138" t="s">
        <v>84</v>
      </c>
      <c r="O138" t="s">
        <v>53</v>
      </c>
      <c r="P138" t="s">
        <v>53</v>
      </c>
      <c r="Q138" t="s">
        <v>53</v>
      </c>
      <c r="R138" t="s">
        <v>54</v>
      </c>
      <c r="S138" t="s">
        <v>54</v>
      </c>
      <c r="T138" t="s">
        <v>55</v>
      </c>
      <c r="U138">
        <v>9</v>
      </c>
      <c r="V138" t="s">
        <v>56</v>
      </c>
      <c r="W138" t="s">
        <v>110</v>
      </c>
      <c r="X138" s="4">
        <v>0</v>
      </c>
      <c r="Y138" t="s">
        <v>58</v>
      </c>
      <c r="Z138" s="3">
        <v>0</v>
      </c>
      <c r="AA138">
        <v>0</v>
      </c>
      <c r="AB138">
        <v>339</v>
      </c>
      <c r="AC138">
        <v>0</v>
      </c>
      <c r="AD138" s="3">
        <v>0</v>
      </c>
      <c r="AE138" s="3">
        <v>1000</v>
      </c>
      <c r="AF138" t="s">
        <v>54</v>
      </c>
      <c r="AG138" t="s">
        <v>59</v>
      </c>
      <c r="AI138" t="s">
        <v>92</v>
      </c>
      <c r="AJ138" t="s">
        <v>92</v>
      </c>
      <c r="AK138" s="5">
        <v>46052.445231481484</v>
      </c>
      <c r="AO138" t="s">
        <v>54</v>
      </c>
      <c r="AP138">
        <v>0</v>
      </c>
      <c r="AR138" t="s">
        <v>54</v>
      </c>
      <c r="AS138" t="s">
        <v>54</v>
      </c>
      <c r="AT138">
        <v>3124</v>
      </c>
      <c r="AU138" t="s">
        <v>55</v>
      </c>
    </row>
    <row r="139" spans="1:47" hidden="1" x14ac:dyDescent="0.25">
      <c r="A139" t="s">
        <v>81</v>
      </c>
      <c r="B139" s="1">
        <v>38503</v>
      </c>
      <c r="C139" t="s">
        <v>48</v>
      </c>
      <c r="D139" t="s">
        <v>49</v>
      </c>
      <c r="E139" s="2">
        <v>46052</v>
      </c>
      <c r="F139" t="s">
        <v>212</v>
      </c>
      <c r="G139" t="s">
        <v>83</v>
      </c>
      <c r="H139" s="3">
        <v>25124</v>
      </c>
      <c r="I139" s="3">
        <v>25124</v>
      </c>
      <c r="J139">
        <v>0</v>
      </c>
      <c r="K139" s="3">
        <v>25124</v>
      </c>
      <c r="L139" s="3">
        <v>5213.1000000000004</v>
      </c>
      <c r="M139" s="3">
        <v>2335.15</v>
      </c>
      <c r="N139" t="s">
        <v>84</v>
      </c>
      <c r="O139" t="s">
        <v>53</v>
      </c>
      <c r="P139" t="s">
        <v>53</v>
      </c>
      <c r="Q139" t="s">
        <v>53</v>
      </c>
      <c r="R139" t="s">
        <v>54</v>
      </c>
      <c r="S139" t="s">
        <v>54</v>
      </c>
      <c r="T139" t="s">
        <v>55</v>
      </c>
      <c r="U139">
        <v>9</v>
      </c>
      <c r="W139" t="s">
        <v>182</v>
      </c>
      <c r="X139" s="4">
        <v>0</v>
      </c>
      <c r="Y139" t="s">
        <v>62</v>
      </c>
      <c r="Z139" s="3"/>
      <c r="AB139" s="3"/>
      <c r="AE139" s="3"/>
      <c r="AK139" s="5"/>
    </row>
    <row r="140" spans="1:47" hidden="1" x14ac:dyDescent="0.25">
      <c r="A140" t="s">
        <v>63</v>
      </c>
      <c r="B140" s="1">
        <v>0</v>
      </c>
      <c r="C140" s="3">
        <v>5213.1000000000004</v>
      </c>
      <c r="D140" s="3">
        <v>0</v>
      </c>
      <c r="E140" s="2">
        <v>0</v>
      </c>
      <c r="F140">
        <v>0</v>
      </c>
      <c r="G140" s="3">
        <v>2300</v>
      </c>
      <c r="H140" s="3" t="s">
        <v>54</v>
      </c>
      <c r="I140" s="3" t="s">
        <v>59</v>
      </c>
      <c r="K140" s="3" t="s">
        <v>92</v>
      </c>
      <c r="L140" s="3" t="s">
        <v>92</v>
      </c>
      <c r="M140" s="3">
        <v>46052.518252314818</v>
      </c>
      <c r="Q140" t="s">
        <v>54</v>
      </c>
      <c r="R140">
        <v>0</v>
      </c>
      <c r="T140" t="s">
        <v>54</v>
      </c>
      <c r="U140" t="s">
        <v>54</v>
      </c>
      <c r="V140">
        <v>8856</v>
      </c>
      <c r="W140" t="s">
        <v>55</v>
      </c>
      <c r="X140" s="4"/>
      <c r="AB140" s="3"/>
      <c r="AE140" s="3"/>
      <c r="AK140" s="5"/>
    </row>
    <row r="141" spans="1:47" x14ac:dyDescent="0.25">
      <c r="A141" t="s">
        <v>47</v>
      </c>
      <c r="B141" s="1">
        <v>38504</v>
      </c>
      <c r="C141" t="s">
        <v>48</v>
      </c>
      <c r="D141" t="s">
        <v>49</v>
      </c>
      <c r="E141" s="2">
        <v>46055</v>
      </c>
      <c r="F141" t="s">
        <v>112</v>
      </c>
      <c r="G141" t="s">
        <v>113</v>
      </c>
      <c r="H141" s="3">
        <v>870</v>
      </c>
      <c r="I141" s="3">
        <v>870</v>
      </c>
      <c r="J141">
        <v>0</v>
      </c>
      <c r="K141" s="3">
        <v>870</v>
      </c>
      <c r="L141" s="3">
        <v>143.4</v>
      </c>
      <c r="M141" s="3">
        <v>55.93</v>
      </c>
      <c r="N141" t="s">
        <v>52</v>
      </c>
      <c r="O141" t="s">
        <v>53</v>
      </c>
      <c r="P141" t="s">
        <v>53</v>
      </c>
      <c r="Q141" t="s">
        <v>53</v>
      </c>
      <c r="R141" t="s">
        <v>54</v>
      </c>
      <c r="S141" t="s">
        <v>54</v>
      </c>
      <c r="T141" t="s">
        <v>55</v>
      </c>
      <c r="U141">
        <v>126</v>
      </c>
      <c r="V141" t="s">
        <v>56</v>
      </c>
      <c r="W141" t="s">
        <v>78</v>
      </c>
      <c r="X141" s="4">
        <v>0</v>
      </c>
      <c r="Y141" t="s">
        <v>58</v>
      </c>
      <c r="Z141">
        <v>143.4</v>
      </c>
      <c r="AA141">
        <v>0</v>
      </c>
      <c r="AB141" s="3">
        <v>0</v>
      </c>
      <c r="AC141">
        <v>0</v>
      </c>
      <c r="AD141">
        <v>0</v>
      </c>
      <c r="AE141" s="3">
        <v>600</v>
      </c>
      <c r="AF141" t="s">
        <v>54</v>
      </c>
      <c r="AG141" t="s">
        <v>59</v>
      </c>
      <c r="AH141" t="s">
        <v>115</v>
      </c>
      <c r="AI141" t="s">
        <v>60</v>
      </c>
      <c r="AJ141" t="s">
        <v>60</v>
      </c>
      <c r="AK141" s="5">
        <v>46055.343298611115</v>
      </c>
      <c r="AO141" t="s">
        <v>54</v>
      </c>
      <c r="AP141">
        <v>0</v>
      </c>
      <c r="AR141" t="s">
        <v>54</v>
      </c>
      <c r="AS141" t="s">
        <v>54</v>
      </c>
      <c r="AT141">
        <v>4089</v>
      </c>
      <c r="AU141" t="s">
        <v>55</v>
      </c>
    </row>
    <row r="142" spans="1:47" x14ac:dyDescent="0.25">
      <c r="A142" t="s">
        <v>47</v>
      </c>
      <c r="B142" s="1">
        <v>38505</v>
      </c>
      <c r="C142" t="s">
        <v>48</v>
      </c>
      <c r="D142" t="s">
        <v>49</v>
      </c>
      <c r="E142" s="2">
        <v>46055</v>
      </c>
      <c r="F142" t="s">
        <v>111</v>
      </c>
      <c r="G142" t="s">
        <v>69</v>
      </c>
      <c r="H142" s="3">
        <v>18310</v>
      </c>
      <c r="I142" s="3">
        <v>18310</v>
      </c>
      <c r="J142">
        <v>0</v>
      </c>
      <c r="K142" s="3">
        <v>21056.5</v>
      </c>
      <c r="L142" s="3">
        <v>4084</v>
      </c>
      <c r="M142" s="3">
        <v>1624.73</v>
      </c>
      <c r="N142" t="s">
        <v>52</v>
      </c>
      <c r="O142" t="s">
        <v>53</v>
      </c>
      <c r="P142" t="s">
        <v>53</v>
      </c>
      <c r="Q142" t="s">
        <v>53</v>
      </c>
      <c r="R142" t="s">
        <v>54</v>
      </c>
      <c r="S142" t="s">
        <v>54</v>
      </c>
      <c r="T142" t="s">
        <v>55</v>
      </c>
      <c r="U142">
        <v>126</v>
      </c>
      <c r="V142" t="s">
        <v>56</v>
      </c>
      <c r="W142" t="s">
        <v>95</v>
      </c>
      <c r="X142" s="4">
        <v>0</v>
      </c>
      <c r="Y142" t="s">
        <v>58</v>
      </c>
      <c r="Z142" s="3">
        <v>4084</v>
      </c>
      <c r="AA142">
        <v>0</v>
      </c>
      <c r="AB142">
        <v>0</v>
      </c>
      <c r="AC142">
        <v>0</v>
      </c>
      <c r="AD142">
        <v>0</v>
      </c>
      <c r="AE142" s="3">
        <v>4000</v>
      </c>
      <c r="AF142" t="s">
        <v>54</v>
      </c>
      <c r="AG142" t="s">
        <v>59</v>
      </c>
      <c r="AI142" t="s">
        <v>60</v>
      </c>
      <c r="AJ142" t="s">
        <v>60</v>
      </c>
      <c r="AK142" s="5">
        <v>46055.483912037038</v>
      </c>
      <c r="AO142" t="s">
        <v>54</v>
      </c>
      <c r="AP142">
        <v>0</v>
      </c>
      <c r="AR142" t="s">
        <v>54</v>
      </c>
      <c r="AS142" t="s">
        <v>54</v>
      </c>
      <c r="AT142">
        <v>1877</v>
      </c>
      <c r="AU142" t="s">
        <v>55</v>
      </c>
    </row>
    <row r="143" spans="1:47" x14ac:dyDescent="0.25">
      <c r="A143" t="s">
        <v>47</v>
      </c>
      <c r="B143" s="1">
        <v>38506</v>
      </c>
      <c r="C143" t="s">
        <v>48</v>
      </c>
      <c r="D143" t="s">
        <v>49</v>
      </c>
      <c r="E143" s="2">
        <v>46055</v>
      </c>
      <c r="F143" t="s">
        <v>111</v>
      </c>
      <c r="G143" t="s">
        <v>69</v>
      </c>
      <c r="H143" s="3">
        <v>10200</v>
      </c>
      <c r="I143" s="3">
        <v>10200</v>
      </c>
      <c r="J143">
        <v>0</v>
      </c>
      <c r="K143" s="3">
        <v>11730</v>
      </c>
      <c r="L143" s="3">
        <v>2328</v>
      </c>
      <c r="M143" s="3">
        <v>907.92</v>
      </c>
      <c r="N143" t="s">
        <v>52</v>
      </c>
      <c r="O143" t="s">
        <v>53</v>
      </c>
      <c r="P143" t="s">
        <v>53</v>
      </c>
      <c r="Q143" t="s">
        <v>53</v>
      </c>
      <c r="R143" t="s">
        <v>54</v>
      </c>
      <c r="S143" t="s">
        <v>54</v>
      </c>
      <c r="T143" t="s">
        <v>55</v>
      </c>
      <c r="U143">
        <v>126</v>
      </c>
      <c r="V143" t="s">
        <v>56</v>
      </c>
      <c r="W143" t="s">
        <v>95</v>
      </c>
      <c r="X143" s="4">
        <v>0</v>
      </c>
      <c r="Y143" t="s">
        <v>58</v>
      </c>
      <c r="Z143" s="3">
        <v>2328</v>
      </c>
      <c r="AA143">
        <v>0</v>
      </c>
      <c r="AB143">
        <v>0</v>
      </c>
      <c r="AC143">
        <v>0</v>
      </c>
      <c r="AD143">
        <v>0</v>
      </c>
      <c r="AE143" s="3">
        <v>2000</v>
      </c>
      <c r="AF143" t="s">
        <v>54</v>
      </c>
      <c r="AG143" t="s">
        <v>59</v>
      </c>
      <c r="AI143" t="s">
        <v>60</v>
      </c>
      <c r="AJ143" t="s">
        <v>60</v>
      </c>
      <c r="AK143" s="5">
        <v>46055.489907407406</v>
      </c>
      <c r="AO143" t="s">
        <v>54</v>
      </c>
      <c r="AP143">
        <v>0</v>
      </c>
      <c r="AR143" t="s">
        <v>54</v>
      </c>
      <c r="AS143" t="s">
        <v>54</v>
      </c>
      <c r="AT143">
        <v>1877</v>
      </c>
      <c r="AU143" t="s">
        <v>55</v>
      </c>
    </row>
    <row r="144" spans="1:47" x14ac:dyDescent="0.25">
      <c r="A144" t="s">
        <v>96</v>
      </c>
      <c r="B144" s="1">
        <v>38507</v>
      </c>
      <c r="C144" t="s">
        <v>48</v>
      </c>
      <c r="D144" t="s">
        <v>49</v>
      </c>
      <c r="E144" s="2">
        <v>46055</v>
      </c>
      <c r="F144" t="s">
        <v>195</v>
      </c>
      <c r="G144" t="s">
        <v>66</v>
      </c>
      <c r="H144" s="3">
        <v>5033.25</v>
      </c>
      <c r="I144" s="3">
        <v>5033.25</v>
      </c>
      <c r="J144">
        <v>0</v>
      </c>
      <c r="K144" s="3">
        <v>5033.25</v>
      </c>
      <c r="L144" s="3">
        <v>1240.83</v>
      </c>
      <c r="M144" s="3">
        <v>364.15</v>
      </c>
      <c r="N144" t="s">
        <v>52</v>
      </c>
      <c r="O144" t="s">
        <v>53</v>
      </c>
      <c r="P144" t="s">
        <v>53</v>
      </c>
      <c r="Q144" t="s">
        <v>53</v>
      </c>
      <c r="R144" t="s">
        <v>54</v>
      </c>
      <c r="S144" t="s">
        <v>54</v>
      </c>
      <c r="T144" t="s">
        <v>55</v>
      </c>
      <c r="U144">
        <v>126</v>
      </c>
      <c r="V144" t="s">
        <v>56</v>
      </c>
      <c r="W144" t="s">
        <v>72</v>
      </c>
      <c r="X144" s="4">
        <v>0</v>
      </c>
      <c r="Y144" t="s">
        <v>62</v>
      </c>
      <c r="AD144" s="3"/>
      <c r="AE144" s="3"/>
      <c r="AK144" s="5"/>
    </row>
    <row r="145" spans="1:47" hidden="1" x14ac:dyDescent="0.25">
      <c r="A145" t="s">
        <v>63</v>
      </c>
      <c r="B145" s="1">
        <v>1240.83</v>
      </c>
      <c r="C145">
        <v>0</v>
      </c>
      <c r="D145">
        <v>0</v>
      </c>
      <c r="E145" s="2">
        <v>0</v>
      </c>
      <c r="F145">
        <v>0</v>
      </c>
      <c r="G145" s="3">
        <v>3175</v>
      </c>
      <c r="H145" s="3" t="s">
        <v>54</v>
      </c>
      <c r="I145" s="3" t="s">
        <v>59</v>
      </c>
      <c r="K145" s="3" t="s">
        <v>60</v>
      </c>
      <c r="L145" s="3" t="s">
        <v>60</v>
      </c>
      <c r="M145" s="3">
        <v>46056.375428240739</v>
      </c>
      <c r="Q145" t="s">
        <v>54</v>
      </c>
      <c r="R145">
        <v>0</v>
      </c>
      <c r="T145" t="s">
        <v>54</v>
      </c>
      <c r="U145" t="s">
        <v>54</v>
      </c>
      <c r="V145">
        <v>8454</v>
      </c>
      <c r="W145" t="s">
        <v>55</v>
      </c>
      <c r="X145" s="4"/>
      <c r="AD145" s="3"/>
      <c r="AE145" s="3"/>
      <c r="AK145" s="5"/>
    </row>
    <row r="146" spans="1:47" x14ac:dyDescent="0.25">
      <c r="A146" t="s">
        <v>96</v>
      </c>
      <c r="B146" s="1">
        <v>38508</v>
      </c>
      <c r="C146" t="s">
        <v>48</v>
      </c>
      <c r="D146" t="s">
        <v>49</v>
      </c>
      <c r="E146" s="2">
        <v>46056</v>
      </c>
      <c r="F146" t="s">
        <v>206</v>
      </c>
      <c r="G146" t="s">
        <v>137</v>
      </c>
      <c r="H146" s="3">
        <v>1704</v>
      </c>
      <c r="I146" s="3">
        <v>1704</v>
      </c>
      <c r="J146">
        <v>0</v>
      </c>
      <c r="K146" s="3">
        <v>1704</v>
      </c>
      <c r="L146" s="3">
        <v>215.4</v>
      </c>
      <c r="M146" s="3">
        <v>128.16</v>
      </c>
      <c r="N146" t="s">
        <v>52</v>
      </c>
      <c r="O146" t="s">
        <v>53</v>
      </c>
      <c r="P146" t="s">
        <v>53</v>
      </c>
      <c r="Q146" t="s">
        <v>53</v>
      </c>
      <c r="R146" t="s">
        <v>54</v>
      </c>
      <c r="S146" t="s">
        <v>54</v>
      </c>
      <c r="T146" t="s">
        <v>55</v>
      </c>
      <c r="U146">
        <v>126</v>
      </c>
      <c r="V146" t="s">
        <v>56</v>
      </c>
      <c r="W146" t="s">
        <v>117</v>
      </c>
      <c r="X146" s="4">
        <v>0</v>
      </c>
      <c r="Y146" t="s">
        <v>62</v>
      </c>
      <c r="Z146" s="3"/>
      <c r="AA146" s="3"/>
      <c r="AE146" s="3"/>
      <c r="AK146" s="5"/>
    </row>
    <row r="147" spans="1:47" hidden="1" x14ac:dyDescent="0.25">
      <c r="A147" t="s">
        <v>63</v>
      </c>
      <c r="B147" s="1">
        <v>0</v>
      </c>
      <c r="C147">
        <v>0</v>
      </c>
      <c r="D147">
        <v>215.4</v>
      </c>
      <c r="E147" s="2">
        <v>0</v>
      </c>
      <c r="F147">
        <v>0</v>
      </c>
      <c r="G147">
        <v>600</v>
      </c>
      <c r="H147" s="3" t="s">
        <v>54</v>
      </c>
      <c r="I147" s="3" t="s">
        <v>59</v>
      </c>
      <c r="K147" s="3" t="s">
        <v>60</v>
      </c>
      <c r="L147" s="3" t="s">
        <v>60</v>
      </c>
      <c r="M147" s="3">
        <v>46056.394178240742</v>
      </c>
      <c r="Q147" t="s">
        <v>54</v>
      </c>
      <c r="R147">
        <v>0</v>
      </c>
      <c r="T147" t="s">
        <v>54</v>
      </c>
      <c r="U147" t="s">
        <v>54</v>
      </c>
      <c r="V147">
        <v>7986</v>
      </c>
      <c r="W147" t="s">
        <v>55</v>
      </c>
      <c r="X147" s="4"/>
      <c r="AA147" s="3"/>
      <c r="AE147" s="3"/>
      <c r="AK147" s="5"/>
    </row>
    <row r="148" spans="1:47" x14ac:dyDescent="0.25">
      <c r="A148" t="s">
        <v>96</v>
      </c>
      <c r="B148" s="1">
        <v>38509</v>
      </c>
      <c r="C148" t="s">
        <v>48</v>
      </c>
      <c r="D148" s="3" t="s">
        <v>49</v>
      </c>
      <c r="E148" s="2">
        <v>46056</v>
      </c>
      <c r="F148" t="s">
        <v>195</v>
      </c>
      <c r="G148" s="3" t="s">
        <v>66</v>
      </c>
      <c r="H148" s="3">
        <v>5033.25</v>
      </c>
      <c r="I148" s="3">
        <v>5033.25</v>
      </c>
      <c r="J148">
        <v>0</v>
      </c>
      <c r="K148" s="3">
        <v>5033.25</v>
      </c>
      <c r="L148" s="3">
        <v>1240.83</v>
      </c>
      <c r="M148" s="3">
        <v>364.15</v>
      </c>
      <c r="N148" t="s">
        <v>52</v>
      </c>
      <c r="O148" t="s">
        <v>53</v>
      </c>
      <c r="P148" t="s">
        <v>53</v>
      </c>
      <c r="Q148" t="s">
        <v>53</v>
      </c>
      <c r="R148" t="s">
        <v>54</v>
      </c>
      <c r="S148" t="s">
        <v>54</v>
      </c>
      <c r="T148" t="s">
        <v>55</v>
      </c>
      <c r="U148">
        <v>126</v>
      </c>
      <c r="V148" t="s">
        <v>56</v>
      </c>
      <c r="W148" t="s">
        <v>72</v>
      </c>
      <c r="X148" s="4">
        <v>0</v>
      </c>
      <c r="Y148" t="s">
        <v>62</v>
      </c>
      <c r="AB148" s="3"/>
      <c r="AE148" s="3"/>
      <c r="AK148" s="5"/>
    </row>
    <row r="149" spans="1:47" hidden="1" x14ac:dyDescent="0.25">
      <c r="A149" t="s">
        <v>63</v>
      </c>
      <c r="B149" s="1">
        <v>1240.83</v>
      </c>
      <c r="C149">
        <v>0</v>
      </c>
      <c r="D149">
        <v>0</v>
      </c>
      <c r="E149" s="2">
        <v>0</v>
      </c>
      <c r="F149">
        <v>0</v>
      </c>
      <c r="G149" s="3">
        <v>3175</v>
      </c>
      <c r="H149" s="3" t="s">
        <v>54</v>
      </c>
      <c r="I149" s="3" t="s">
        <v>59</v>
      </c>
      <c r="K149" s="3" t="s">
        <v>60</v>
      </c>
      <c r="L149" s="3" t="s">
        <v>60</v>
      </c>
      <c r="M149" s="3">
        <v>46056.411585648151</v>
      </c>
      <c r="Q149" t="s">
        <v>54</v>
      </c>
      <c r="R149">
        <v>0</v>
      </c>
      <c r="T149" t="s">
        <v>54</v>
      </c>
      <c r="U149" t="s">
        <v>54</v>
      </c>
      <c r="V149">
        <v>8454</v>
      </c>
      <c r="W149" t="s">
        <v>55</v>
      </c>
      <c r="X149" s="4"/>
      <c r="Z149" s="3"/>
      <c r="AB149" s="3"/>
      <c r="AE149" s="3"/>
      <c r="AK149" s="5"/>
    </row>
    <row r="150" spans="1:47" x14ac:dyDescent="0.25">
      <c r="A150" t="s">
        <v>96</v>
      </c>
      <c r="B150" s="1">
        <v>38510</v>
      </c>
      <c r="C150" t="s">
        <v>48</v>
      </c>
      <c r="D150" t="s">
        <v>49</v>
      </c>
      <c r="E150" s="2">
        <v>46056</v>
      </c>
      <c r="F150" t="s">
        <v>188</v>
      </c>
      <c r="G150" t="s">
        <v>189</v>
      </c>
      <c r="H150" s="3">
        <v>5640</v>
      </c>
      <c r="I150" s="3">
        <v>5640</v>
      </c>
      <c r="J150">
        <v>0</v>
      </c>
      <c r="K150" s="3">
        <v>5640</v>
      </c>
      <c r="L150" s="3">
        <v>1380</v>
      </c>
      <c r="M150" s="3">
        <v>448.5</v>
      </c>
      <c r="N150" t="s">
        <v>77</v>
      </c>
      <c r="O150" t="s">
        <v>53</v>
      </c>
      <c r="P150" t="s">
        <v>53</v>
      </c>
      <c r="Q150" t="s">
        <v>53</v>
      </c>
      <c r="R150" t="s">
        <v>54</v>
      </c>
      <c r="S150" t="s">
        <v>54</v>
      </c>
      <c r="T150" t="s">
        <v>55</v>
      </c>
      <c r="U150">
        <v>83</v>
      </c>
      <c r="V150" t="s">
        <v>121</v>
      </c>
      <c r="W150" t="s">
        <v>175</v>
      </c>
      <c r="X150" s="4">
        <v>0</v>
      </c>
      <c r="Y150" t="s">
        <v>62</v>
      </c>
      <c r="AD150" s="3"/>
      <c r="AE150" s="3"/>
      <c r="AK150" s="5"/>
    </row>
    <row r="151" spans="1:47" hidden="1" x14ac:dyDescent="0.25">
      <c r="A151" t="s">
        <v>63</v>
      </c>
      <c r="B151" s="1">
        <v>1380</v>
      </c>
      <c r="C151">
        <v>0</v>
      </c>
      <c r="D151">
        <v>0</v>
      </c>
      <c r="E151" s="2">
        <v>0</v>
      </c>
      <c r="F151">
        <v>0</v>
      </c>
      <c r="G151" s="3">
        <v>3000</v>
      </c>
      <c r="H151" s="3" t="s">
        <v>54</v>
      </c>
      <c r="I151" s="3" t="s">
        <v>59</v>
      </c>
      <c r="K151" s="3" t="s">
        <v>80</v>
      </c>
      <c r="L151" s="3" t="s">
        <v>73</v>
      </c>
      <c r="M151" s="3">
        <v>46056.637974537036</v>
      </c>
      <c r="Q151" t="s">
        <v>54</v>
      </c>
      <c r="R151">
        <v>0</v>
      </c>
      <c r="T151" t="s">
        <v>54</v>
      </c>
      <c r="U151" t="s">
        <v>54</v>
      </c>
      <c r="V151">
        <v>5908</v>
      </c>
      <c r="W151" t="s">
        <v>55</v>
      </c>
      <c r="X151" s="4"/>
      <c r="AB151" s="3"/>
      <c r="AK151" s="5"/>
    </row>
    <row r="152" spans="1:47" x14ac:dyDescent="0.25">
      <c r="A152" t="s">
        <v>96</v>
      </c>
      <c r="B152" s="1">
        <v>38511</v>
      </c>
      <c r="C152" t="s">
        <v>48</v>
      </c>
      <c r="D152" t="s">
        <v>49</v>
      </c>
      <c r="E152" s="2">
        <v>46056</v>
      </c>
      <c r="F152" t="s">
        <v>199</v>
      </c>
      <c r="G152" t="s">
        <v>200</v>
      </c>
      <c r="H152" s="3">
        <v>13393.4</v>
      </c>
      <c r="I152" s="3">
        <v>13393.4</v>
      </c>
      <c r="J152">
        <v>0</v>
      </c>
      <c r="K152" s="3">
        <v>13393.4</v>
      </c>
      <c r="L152" s="3">
        <v>2445.16</v>
      </c>
      <c r="M152" s="3">
        <v>1149.23</v>
      </c>
      <c r="N152" t="s">
        <v>106</v>
      </c>
      <c r="O152" t="s">
        <v>53</v>
      </c>
      <c r="P152" t="s">
        <v>53</v>
      </c>
      <c r="Q152" t="s">
        <v>53</v>
      </c>
      <c r="R152" t="s">
        <v>54</v>
      </c>
      <c r="S152" t="s">
        <v>54</v>
      </c>
      <c r="T152" t="s">
        <v>55</v>
      </c>
      <c r="U152">
        <v>145</v>
      </c>
      <c r="V152" t="s">
        <v>92</v>
      </c>
      <c r="W152" t="s">
        <v>134</v>
      </c>
      <c r="X152" s="4">
        <v>0</v>
      </c>
      <c r="Y152" t="s">
        <v>58</v>
      </c>
      <c r="Z152">
        <v>0</v>
      </c>
      <c r="AA152">
        <v>0</v>
      </c>
      <c r="AB152">
        <v>0</v>
      </c>
      <c r="AC152">
        <v>0</v>
      </c>
      <c r="AD152" s="3">
        <v>2445.16</v>
      </c>
      <c r="AE152" s="3">
        <v>1461</v>
      </c>
      <c r="AF152" t="s">
        <v>54</v>
      </c>
      <c r="AG152" t="s">
        <v>59</v>
      </c>
      <c r="AH152" t="s">
        <v>79</v>
      </c>
      <c r="AI152" t="s">
        <v>73</v>
      </c>
      <c r="AJ152" t="s">
        <v>92</v>
      </c>
      <c r="AK152" s="5">
        <v>46056.690995370373</v>
      </c>
      <c r="AO152" t="s">
        <v>54</v>
      </c>
      <c r="AP152">
        <v>0</v>
      </c>
      <c r="AR152" t="s">
        <v>54</v>
      </c>
      <c r="AS152" t="s">
        <v>54</v>
      </c>
      <c r="AT152">
        <v>8600</v>
      </c>
      <c r="AU152" t="s">
        <v>55</v>
      </c>
    </row>
    <row r="153" spans="1:47" x14ac:dyDescent="0.25">
      <c r="A153" t="s">
        <v>47</v>
      </c>
      <c r="B153" s="1">
        <v>38512</v>
      </c>
      <c r="C153" t="s">
        <v>48</v>
      </c>
      <c r="D153" s="3" t="s">
        <v>49</v>
      </c>
      <c r="E153" s="2">
        <v>46056</v>
      </c>
      <c r="F153" t="s">
        <v>205</v>
      </c>
      <c r="G153" s="3" t="s">
        <v>69</v>
      </c>
      <c r="H153" s="3">
        <v>4845.8999999999996</v>
      </c>
      <c r="I153" s="3">
        <v>4845.8999999999996</v>
      </c>
      <c r="J153">
        <v>0</v>
      </c>
      <c r="K153" s="3">
        <v>5572.78</v>
      </c>
      <c r="L153" s="3">
        <v>922.55</v>
      </c>
      <c r="M153" s="3">
        <v>295.60000000000002</v>
      </c>
      <c r="N153" t="s">
        <v>77</v>
      </c>
      <c r="O153" t="s">
        <v>53</v>
      </c>
      <c r="P153" t="s">
        <v>53</v>
      </c>
      <c r="Q153" t="s">
        <v>53</v>
      </c>
      <c r="R153" t="s">
        <v>54</v>
      </c>
      <c r="S153" t="s">
        <v>54</v>
      </c>
      <c r="T153" t="s">
        <v>55</v>
      </c>
      <c r="U153">
        <v>83</v>
      </c>
      <c r="W153" t="s">
        <v>170</v>
      </c>
      <c r="X153" s="4">
        <v>0</v>
      </c>
      <c r="Y153" t="s">
        <v>62</v>
      </c>
      <c r="Z153" s="3"/>
      <c r="AE153" s="3"/>
      <c r="AK153" s="5"/>
    </row>
    <row r="154" spans="1:47" hidden="1" x14ac:dyDescent="0.25">
      <c r="A154" t="s">
        <v>63</v>
      </c>
      <c r="B154" s="1">
        <v>922.55</v>
      </c>
      <c r="C154">
        <v>0</v>
      </c>
      <c r="D154">
        <v>0</v>
      </c>
      <c r="E154" s="2">
        <v>0</v>
      </c>
      <c r="F154">
        <v>0</v>
      </c>
      <c r="G154" s="3">
        <v>1030</v>
      </c>
      <c r="H154" s="3" t="s">
        <v>54</v>
      </c>
      <c r="I154" s="3" t="s">
        <v>59</v>
      </c>
      <c r="K154" s="3" t="s">
        <v>80</v>
      </c>
      <c r="L154" s="3" t="s">
        <v>73</v>
      </c>
      <c r="M154" s="3">
        <v>46056.636597222219</v>
      </c>
      <c r="Q154" t="s">
        <v>54</v>
      </c>
      <c r="R154">
        <v>0</v>
      </c>
      <c r="T154" t="s">
        <v>54</v>
      </c>
      <c r="U154" t="s">
        <v>54</v>
      </c>
      <c r="V154">
        <v>7361</v>
      </c>
      <c r="W154" t="s">
        <v>55</v>
      </c>
      <c r="X154" s="4"/>
      <c r="Z154" s="3"/>
      <c r="AE154" s="3"/>
      <c r="AK154" s="5"/>
    </row>
    <row r="155" spans="1:47" x14ac:dyDescent="0.25">
      <c r="A155" t="s">
        <v>96</v>
      </c>
      <c r="B155" s="1">
        <v>38514</v>
      </c>
      <c r="C155" t="s">
        <v>48</v>
      </c>
      <c r="D155" t="s">
        <v>49</v>
      </c>
      <c r="E155" s="2">
        <v>46057</v>
      </c>
      <c r="F155" t="s">
        <v>203</v>
      </c>
      <c r="G155" s="3" t="s">
        <v>89</v>
      </c>
      <c r="H155" s="3">
        <v>7764</v>
      </c>
      <c r="I155" s="3">
        <v>7764</v>
      </c>
      <c r="J155">
        <v>0</v>
      </c>
      <c r="K155" s="3">
        <v>7764</v>
      </c>
      <c r="L155" s="3">
        <v>1257.2</v>
      </c>
      <c r="M155" s="3">
        <v>653.74</v>
      </c>
      <c r="N155" t="s">
        <v>52</v>
      </c>
      <c r="O155" t="s">
        <v>53</v>
      </c>
      <c r="P155" t="s">
        <v>53</v>
      </c>
      <c r="Q155" t="s">
        <v>53</v>
      </c>
      <c r="R155" t="s">
        <v>54</v>
      </c>
      <c r="S155" t="s">
        <v>54</v>
      </c>
      <c r="T155" t="s">
        <v>55</v>
      </c>
      <c r="U155">
        <v>126</v>
      </c>
      <c r="V155" t="s">
        <v>56</v>
      </c>
      <c r="W155" t="s">
        <v>90</v>
      </c>
      <c r="X155" s="4">
        <v>0</v>
      </c>
      <c r="Y155" t="s">
        <v>62</v>
      </c>
      <c r="AB155" s="3"/>
      <c r="AE155" s="3"/>
      <c r="AK155" s="5"/>
    </row>
    <row r="156" spans="1:47" hidden="1" x14ac:dyDescent="0.25">
      <c r="A156" t="s">
        <v>63</v>
      </c>
      <c r="B156" s="1">
        <v>0</v>
      </c>
      <c r="C156">
        <v>0</v>
      </c>
      <c r="D156">
        <v>0</v>
      </c>
      <c r="E156" s="2">
        <v>0</v>
      </c>
      <c r="F156" s="3">
        <v>1257.2</v>
      </c>
      <c r="G156" s="3">
        <v>3600</v>
      </c>
      <c r="H156" s="3" t="s">
        <v>54</v>
      </c>
      <c r="I156" s="3" t="s">
        <v>59</v>
      </c>
      <c r="K156" s="3" t="s">
        <v>60</v>
      </c>
      <c r="L156" s="3" t="s">
        <v>60</v>
      </c>
      <c r="M156" s="3">
        <v>46057.402233796296</v>
      </c>
      <c r="Q156" t="s">
        <v>54</v>
      </c>
      <c r="R156">
        <v>0</v>
      </c>
      <c r="T156" t="s">
        <v>54</v>
      </c>
      <c r="U156" t="s">
        <v>54</v>
      </c>
      <c r="V156">
        <v>8070</v>
      </c>
      <c r="W156" t="s">
        <v>55</v>
      </c>
      <c r="X156" s="4"/>
      <c r="AD156" s="3"/>
      <c r="AE156" s="3"/>
      <c r="AK156" s="5"/>
    </row>
    <row r="157" spans="1:47" x14ac:dyDescent="0.25">
      <c r="A157" t="s">
        <v>47</v>
      </c>
      <c r="B157" s="1">
        <v>38515</v>
      </c>
      <c r="C157" t="s">
        <v>48</v>
      </c>
      <c r="D157" t="s">
        <v>49</v>
      </c>
      <c r="E157" s="2">
        <v>46057</v>
      </c>
      <c r="F157" t="s">
        <v>149</v>
      </c>
      <c r="G157" t="s">
        <v>66</v>
      </c>
      <c r="H157" s="3">
        <v>1389.4</v>
      </c>
      <c r="I157" s="3">
        <v>1389.4</v>
      </c>
      <c r="J157">
        <v>0</v>
      </c>
      <c r="K157" s="3">
        <v>1597.81</v>
      </c>
      <c r="L157" s="3">
        <v>150.12</v>
      </c>
      <c r="M157" s="3">
        <v>112.29</v>
      </c>
      <c r="N157" t="s">
        <v>84</v>
      </c>
      <c r="O157" t="s">
        <v>53</v>
      </c>
      <c r="P157" t="s">
        <v>53</v>
      </c>
      <c r="Q157" t="s">
        <v>53</v>
      </c>
      <c r="R157" t="s">
        <v>54</v>
      </c>
      <c r="S157" t="s">
        <v>54</v>
      </c>
      <c r="T157" t="s">
        <v>55</v>
      </c>
      <c r="U157">
        <v>9</v>
      </c>
      <c r="V157" t="s">
        <v>71</v>
      </c>
      <c r="W157" t="s">
        <v>57</v>
      </c>
      <c r="X157" s="4">
        <v>0</v>
      </c>
      <c r="Y157" t="s">
        <v>58</v>
      </c>
      <c r="Z157" s="3">
        <v>0</v>
      </c>
      <c r="AA157">
        <v>0</v>
      </c>
      <c r="AB157">
        <v>150.12</v>
      </c>
      <c r="AC157">
        <v>0</v>
      </c>
      <c r="AD157" s="3">
        <v>0</v>
      </c>
      <c r="AE157" s="3">
        <v>40</v>
      </c>
      <c r="AF157" t="s">
        <v>54</v>
      </c>
      <c r="AG157" t="s">
        <v>59</v>
      </c>
      <c r="AI157" t="s">
        <v>73</v>
      </c>
      <c r="AJ157" t="s">
        <v>73</v>
      </c>
      <c r="AK157" s="5">
        <v>46057.414085648146</v>
      </c>
      <c r="AO157" t="s">
        <v>54</v>
      </c>
      <c r="AP157">
        <v>0</v>
      </c>
      <c r="AR157" t="s">
        <v>54</v>
      </c>
      <c r="AS157" t="s">
        <v>54</v>
      </c>
      <c r="AT157">
        <v>1009</v>
      </c>
      <c r="AU157" t="s">
        <v>55</v>
      </c>
    </row>
    <row r="158" spans="1:47" x14ac:dyDescent="0.25">
      <c r="A158" t="s">
        <v>96</v>
      </c>
      <c r="B158" s="1">
        <v>38516</v>
      </c>
      <c r="C158" t="s">
        <v>48</v>
      </c>
      <c r="D158" t="s">
        <v>49</v>
      </c>
      <c r="E158" s="2">
        <v>46057</v>
      </c>
      <c r="F158" t="s">
        <v>177</v>
      </c>
      <c r="G158" t="s">
        <v>66</v>
      </c>
      <c r="H158" s="3">
        <v>3850</v>
      </c>
      <c r="I158" s="3">
        <v>3850</v>
      </c>
      <c r="J158">
        <v>0</v>
      </c>
      <c r="K158" s="3">
        <v>3850</v>
      </c>
      <c r="L158" s="3">
        <v>1060</v>
      </c>
      <c r="M158" s="3">
        <v>319.3</v>
      </c>
      <c r="N158" t="s">
        <v>52</v>
      </c>
      <c r="O158" t="s">
        <v>53</v>
      </c>
      <c r="P158" t="s">
        <v>53</v>
      </c>
      <c r="Q158" t="s">
        <v>53</v>
      </c>
      <c r="R158" t="s">
        <v>54</v>
      </c>
      <c r="S158" t="s">
        <v>54</v>
      </c>
      <c r="T158" t="s">
        <v>55</v>
      </c>
      <c r="U158">
        <v>126</v>
      </c>
      <c r="V158" t="s">
        <v>56</v>
      </c>
      <c r="W158" t="s">
        <v>95</v>
      </c>
      <c r="X158" s="4">
        <v>0</v>
      </c>
      <c r="Y158" t="s">
        <v>58</v>
      </c>
      <c r="Z158" s="3">
        <v>1060</v>
      </c>
      <c r="AA158">
        <v>0</v>
      </c>
      <c r="AB158">
        <v>0</v>
      </c>
      <c r="AC158">
        <v>0</v>
      </c>
      <c r="AD158" s="3">
        <v>0</v>
      </c>
      <c r="AE158" s="3">
        <v>25000</v>
      </c>
      <c r="AF158" t="s">
        <v>54</v>
      </c>
      <c r="AG158" t="s">
        <v>59</v>
      </c>
      <c r="AH158" t="s">
        <v>164</v>
      </c>
      <c r="AI158" t="s">
        <v>60</v>
      </c>
      <c r="AJ158" t="s">
        <v>60</v>
      </c>
      <c r="AK158" s="5">
        <v>46057.417604166665</v>
      </c>
      <c r="AO158" t="s">
        <v>54</v>
      </c>
      <c r="AP158">
        <v>0</v>
      </c>
      <c r="AR158" t="s">
        <v>54</v>
      </c>
      <c r="AS158" t="s">
        <v>54</v>
      </c>
      <c r="AT158">
        <v>4759</v>
      </c>
      <c r="AU158" t="s">
        <v>55</v>
      </c>
    </row>
    <row r="159" spans="1:47" x14ac:dyDescent="0.25">
      <c r="A159" t="s">
        <v>47</v>
      </c>
      <c r="B159" s="1">
        <v>38517</v>
      </c>
      <c r="C159" t="s">
        <v>48</v>
      </c>
      <c r="D159" t="s">
        <v>49</v>
      </c>
      <c r="E159" s="2">
        <v>46057</v>
      </c>
      <c r="F159" t="s">
        <v>149</v>
      </c>
      <c r="G159" t="s">
        <v>66</v>
      </c>
      <c r="H159" s="3">
        <v>2165.1999999999998</v>
      </c>
      <c r="I159" s="3">
        <v>2165.1999999999998</v>
      </c>
      <c r="J159">
        <v>0</v>
      </c>
      <c r="K159" s="3">
        <v>2489.98</v>
      </c>
      <c r="L159" s="3">
        <v>210.16</v>
      </c>
      <c r="M159" s="3">
        <v>157.19999999999999</v>
      </c>
      <c r="N159" t="s">
        <v>84</v>
      </c>
      <c r="O159" t="s">
        <v>53</v>
      </c>
      <c r="P159" t="s">
        <v>53</v>
      </c>
      <c r="Q159" t="s">
        <v>53</v>
      </c>
      <c r="R159" t="s">
        <v>54</v>
      </c>
      <c r="S159" t="s">
        <v>54</v>
      </c>
      <c r="T159" t="s">
        <v>55</v>
      </c>
      <c r="U159">
        <v>9</v>
      </c>
      <c r="V159" t="s">
        <v>71</v>
      </c>
      <c r="W159" t="s">
        <v>57</v>
      </c>
      <c r="X159" s="4">
        <v>0</v>
      </c>
      <c r="Y159" t="s">
        <v>58</v>
      </c>
      <c r="Z159">
        <v>0</v>
      </c>
      <c r="AA159">
        <v>0</v>
      </c>
      <c r="AB159" s="3">
        <v>210.16</v>
      </c>
      <c r="AC159">
        <v>0</v>
      </c>
      <c r="AD159" s="3">
        <v>0</v>
      </c>
      <c r="AE159" s="3">
        <v>60</v>
      </c>
      <c r="AF159" t="s">
        <v>54</v>
      </c>
      <c r="AG159" t="s">
        <v>59</v>
      </c>
      <c r="AI159" t="s">
        <v>73</v>
      </c>
      <c r="AJ159" t="s">
        <v>73</v>
      </c>
      <c r="AK159" s="5">
        <v>46057.419872685183</v>
      </c>
      <c r="AO159" t="s">
        <v>54</v>
      </c>
      <c r="AP159">
        <v>0</v>
      </c>
      <c r="AR159" t="s">
        <v>54</v>
      </c>
      <c r="AS159" t="s">
        <v>54</v>
      </c>
      <c r="AT159">
        <v>1009</v>
      </c>
      <c r="AU159" t="s">
        <v>55</v>
      </c>
    </row>
    <row r="160" spans="1:47" x14ac:dyDescent="0.25">
      <c r="A160" t="s">
        <v>47</v>
      </c>
      <c r="B160" s="1">
        <v>38518</v>
      </c>
      <c r="C160" t="s">
        <v>48</v>
      </c>
      <c r="D160" t="s">
        <v>49</v>
      </c>
      <c r="E160" s="2">
        <v>46057</v>
      </c>
      <c r="F160" t="s">
        <v>149</v>
      </c>
      <c r="G160" t="s">
        <v>66</v>
      </c>
      <c r="H160" s="3">
        <v>5703.6</v>
      </c>
      <c r="I160" s="3">
        <v>5703.6</v>
      </c>
      <c r="J160">
        <v>0</v>
      </c>
      <c r="K160" s="3">
        <v>6133.79</v>
      </c>
      <c r="L160">
        <v>752.04</v>
      </c>
      <c r="M160" s="3">
        <v>351.59</v>
      </c>
      <c r="N160" t="s">
        <v>84</v>
      </c>
      <c r="O160" t="s">
        <v>53</v>
      </c>
      <c r="P160" t="s">
        <v>53</v>
      </c>
      <c r="Q160" t="s">
        <v>53</v>
      </c>
      <c r="R160" t="s">
        <v>54</v>
      </c>
      <c r="S160" t="s">
        <v>54</v>
      </c>
      <c r="T160" t="s">
        <v>55</v>
      </c>
      <c r="U160">
        <v>9</v>
      </c>
      <c r="V160" t="s">
        <v>71</v>
      </c>
      <c r="W160" t="s">
        <v>57</v>
      </c>
      <c r="X160" s="4">
        <v>0</v>
      </c>
      <c r="Y160" t="s">
        <v>58</v>
      </c>
      <c r="Z160">
        <v>530</v>
      </c>
      <c r="AA160">
        <v>0</v>
      </c>
      <c r="AB160">
        <v>222.04</v>
      </c>
      <c r="AC160">
        <v>0</v>
      </c>
      <c r="AD160">
        <v>0</v>
      </c>
      <c r="AE160" s="3">
        <v>1060</v>
      </c>
      <c r="AF160" t="s">
        <v>54</v>
      </c>
      <c r="AG160" t="s">
        <v>59</v>
      </c>
      <c r="AI160" t="s">
        <v>73</v>
      </c>
      <c r="AJ160" t="s">
        <v>73</v>
      </c>
      <c r="AK160" s="5">
        <v>46057.421446759261</v>
      </c>
      <c r="AO160" t="s">
        <v>54</v>
      </c>
      <c r="AP160">
        <v>0</v>
      </c>
      <c r="AR160" t="s">
        <v>54</v>
      </c>
      <c r="AS160" t="s">
        <v>54</v>
      </c>
      <c r="AT160">
        <v>1009</v>
      </c>
      <c r="AU160" t="s">
        <v>55</v>
      </c>
    </row>
    <row r="161" spans="1:47" x14ac:dyDescent="0.25">
      <c r="A161" t="s">
        <v>47</v>
      </c>
      <c r="B161" s="1">
        <v>38519</v>
      </c>
      <c r="C161" t="s">
        <v>48</v>
      </c>
      <c r="D161" t="s">
        <v>49</v>
      </c>
      <c r="E161" s="2">
        <v>46057</v>
      </c>
      <c r="F161" t="s">
        <v>149</v>
      </c>
      <c r="G161" t="s">
        <v>66</v>
      </c>
      <c r="H161" s="3">
        <v>2217.4</v>
      </c>
      <c r="I161" s="3">
        <v>2217.4</v>
      </c>
      <c r="J161">
        <v>0</v>
      </c>
      <c r="K161" s="3">
        <v>2550.0100000000002</v>
      </c>
      <c r="L161">
        <v>235.2</v>
      </c>
      <c r="M161" s="3">
        <v>175.93</v>
      </c>
      <c r="N161" t="s">
        <v>84</v>
      </c>
      <c r="O161" t="s">
        <v>53</v>
      </c>
      <c r="P161" t="s">
        <v>53</v>
      </c>
      <c r="Q161" t="s">
        <v>53</v>
      </c>
      <c r="R161" t="s">
        <v>54</v>
      </c>
      <c r="S161" t="s">
        <v>54</v>
      </c>
      <c r="T161" t="s">
        <v>55</v>
      </c>
      <c r="U161">
        <v>9</v>
      </c>
      <c r="V161" t="s">
        <v>71</v>
      </c>
      <c r="W161" t="s">
        <v>57</v>
      </c>
      <c r="X161" s="4">
        <v>0</v>
      </c>
      <c r="Y161" t="s">
        <v>58</v>
      </c>
      <c r="Z161">
        <v>0</v>
      </c>
      <c r="AA161">
        <v>0</v>
      </c>
      <c r="AB161">
        <v>235.2</v>
      </c>
      <c r="AC161">
        <v>0</v>
      </c>
      <c r="AD161">
        <v>0</v>
      </c>
      <c r="AE161">
        <v>60</v>
      </c>
      <c r="AF161" t="s">
        <v>54</v>
      </c>
      <c r="AG161" t="s">
        <v>59</v>
      </c>
      <c r="AI161" t="s">
        <v>73</v>
      </c>
      <c r="AJ161" t="s">
        <v>73</v>
      </c>
      <c r="AK161" s="5">
        <v>46057.424016203702</v>
      </c>
      <c r="AO161" t="s">
        <v>54</v>
      </c>
      <c r="AP161">
        <v>0</v>
      </c>
      <c r="AR161" t="s">
        <v>54</v>
      </c>
      <c r="AS161" t="s">
        <v>54</v>
      </c>
      <c r="AT161">
        <v>1009</v>
      </c>
      <c r="AU161" t="s">
        <v>55</v>
      </c>
    </row>
    <row r="162" spans="1:47" x14ac:dyDescent="0.25">
      <c r="A162" t="s">
        <v>96</v>
      </c>
      <c r="B162" s="1">
        <v>38521</v>
      </c>
      <c r="C162" t="s">
        <v>48</v>
      </c>
      <c r="D162" t="s">
        <v>49</v>
      </c>
      <c r="E162" s="2">
        <v>46057</v>
      </c>
      <c r="F162" t="s">
        <v>173</v>
      </c>
      <c r="G162" t="s">
        <v>69</v>
      </c>
      <c r="H162" s="3">
        <v>4709</v>
      </c>
      <c r="I162" s="3">
        <v>4709</v>
      </c>
      <c r="J162">
        <v>0</v>
      </c>
      <c r="K162" s="3">
        <v>4709</v>
      </c>
      <c r="L162" s="3">
        <v>969</v>
      </c>
      <c r="M162" s="3">
        <v>377.91</v>
      </c>
      <c r="N162" t="s">
        <v>84</v>
      </c>
      <c r="O162" t="s">
        <v>53</v>
      </c>
      <c r="P162" t="s">
        <v>53</v>
      </c>
      <c r="Q162" t="s">
        <v>53</v>
      </c>
      <c r="R162" t="s">
        <v>54</v>
      </c>
      <c r="S162" t="s">
        <v>54</v>
      </c>
      <c r="T162" t="s">
        <v>55</v>
      </c>
      <c r="U162">
        <v>9</v>
      </c>
      <c r="V162" t="s">
        <v>71</v>
      </c>
      <c r="W162" t="s">
        <v>152</v>
      </c>
      <c r="X162" s="4">
        <v>0</v>
      </c>
      <c r="Y162" t="s">
        <v>58</v>
      </c>
      <c r="Z162">
        <v>969</v>
      </c>
      <c r="AA162">
        <v>0</v>
      </c>
      <c r="AB162">
        <v>0</v>
      </c>
      <c r="AC162">
        <v>0</v>
      </c>
      <c r="AD162">
        <v>0</v>
      </c>
      <c r="AE162" s="3">
        <v>1700</v>
      </c>
      <c r="AF162" t="s">
        <v>54</v>
      </c>
      <c r="AG162" t="s">
        <v>59</v>
      </c>
      <c r="AI162" t="s">
        <v>73</v>
      </c>
      <c r="AJ162" t="s">
        <v>73</v>
      </c>
      <c r="AK162" s="5">
        <v>46057.615706018521</v>
      </c>
      <c r="AO162" t="s">
        <v>54</v>
      </c>
      <c r="AP162">
        <v>0</v>
      </c>
      <c r="AR162" t="s">
        <v>54</v>
      </c>
      <c r="AS162" t="s">
        <v>54</v>
      </c>
      <c r="AT162">
        <v>3508</v>
      </c>
      <c r="AU162" t="s">
        <v>55</v>
      </c>
    </row>
    <row r="163" spans="1:47" x14ac:dyDescent="0.25">
      <c r="A163" t="s">
        <v>47</v>
      </c>
      <c r="B163" s="1">
        <v>38523</v>
      </c>
      <c r="C163" t="s">
        <v>48</v>
      </c>
      <c r="D163" s="3" t="s">
        <v>49</v>
      </c>
      <c r="E163" s="2">
        <v>46057</v>
      </c>
      <c r="F163" t="s">
        <v>198</v>
      </c>
      <c r="G163" s="3" t="s">
        <v>189</v>
      </c>
      <c r="H163" s="3">
        <v>4020</v>
      </c>
      <c r="I163" s="3">
        <v>4020</v>
      </c>
      <c r="J163">
        <v>0</v>
      </c>
      <c r="K163" s="3">
        <v>4623</v>
      </c>
      <c r="L163" s="3">
        <v>732</v>
      </c>
      <c r="M163" s="3">
        <v>212.28</v>
      </c>
      <c r="N163" t="s">
        <v>84</v>
      </c>
      <c r="O163" t="s">
        <v>53</v>
      </c>
      <c r="P163" t="s">
        <v>53</v>
      </c>
      <c r="Q163" t="s">
        <v>53</v>
      </c>
      <c r="R163" t="s">
        <v>54</v>
      </c>
      <c r="S163" t="s">
        <v>54</v>
      </c>
      <c r="T163" t="s">
        <v>55</v>
      </c>
      <c r="U163">
        <v>9</v>
      </c>
      <c r="V163" t="s">
        <v>71</v>
      </c>
      <c r="W163" t="s">
        <v>117</v>
      </c>
      <c r="X163" s="4">
        <v>0</v>
      </c>
      <c r="Y163" t="s">
        <v>58</v>
      </c>
      <c r="Z163">
        <v>732</v>
      </c>
      <c r="AA163">
        <v>0</v>
      </c>
      <c r="AB163">
        <v>0</v>
      </c>
      <c r="AC163">
        <v>0</v>
      </c>
      <c r="AD163">
        <v>0</v>
      </c>
      <c r="AE163" s="3">
        <v>2000</v>
      </c>
      <c r="AF163" t="s">
        <v>54</v>
      </c>
      <c r="AG163" t="s">
        <v>59</v>
      </c>
      <c r="AI163" t="s">
        <v>73</v>
      </c>
      <c r="AJ163" t="s">
        <v>73</v>
      </c>
      <c r="AK163" s="5">
        <v>46057.694733796299</v>
      </c>
      <c r="AO163" t="s">
        <v>54</v>
      </c>
      <c r="AP163">
        <v>0</v>
      </c>
      <c r="AR163" t="s">
        <v>54</v>
      </c>
      <c r="AS163" t="s">
        <v>54</v>
      </c>
      <c r="AT163">
        <v>6401</v>
      </c>
      <c r="AU163" t="s">
        <v>55</v>
      </c>
    </row>
    <row r="164" spans="1:47" x14ac:dyDescent="0.25">
      <c r="A164" t="s">
        <v>96</v>
      </c>
      <c r="B164" s="1">
        <v>38524</v>
      </c>
      <c r="C164" t="s">
        <v>48</v>
      </c>
      <c r="D164" t="s">
        <v>49</v>
      </c>
      <c r="E164" s="2">
        <v>46057</v>
      </c>
      <c r="F164" s="3" t="s">
        <v>141</v>
      </c>
      <c r="G164" s="3" t="s">
        <v>94</v>
      </c>
      <c r="H164" s="3">
        <v>3960</v>
      </c>
      <c r="I164" s="3">
        <v>3960</v>
      </c>
      <c r="J164">
        <v>0</v>
      </c>
      <c r="K164" s="3">
        <v>3960</v>
      </c>
      <c r="L164" s="3">
        <v>1045</v>
      </c>
      <c r="M164" s="3">
        <v>303.05</v>
      </c>
      <c r="N164" t="s">
        <v>106</v>
      </c>
      <c r="O164" t="s">
        <v>53</v>
      </c>
      <c r="P164" t="s">
        <v>53</v>
      </c>
      <c r="Q164" t="s">
        <v>53</v>
      </c>
      <c r="R164" t="s">
        <v>54</v>
      </c>
      <c r="S164" t="s">
        <v>54</v>
      </c>
      <c r="T164" t="s">
        <v>55</v>
      </c>
      <c r="U164">
        <v>145</v>
      </c>
      <c r="W164" t="s">
        <v>142</v>
      </c>
      <c r="X164" s="4">
        <v>0</v>
      </c>
      <c r="Y164" t="s">
        <v>62</v>
      </c>
      <c r="Z164" s="3"/>
      <c r="AE164" s="3"/>
      <c r="AK164" s="5"/>
    </row>
    <row r="165" spans="1:47" hidden="1" x14ac:dyDescent="0.25">
      <c r="A165" t="s">
        <v>63</v>
      </c>
      <c r="B165" s="1">
        <v>1045</v>
      </c>
      <c r="C165">
        <v>0</v>
      </c>
      <c r="D165">
        <v>0</v>
      </c>
      <c r="E165" s="2">
        <v>0</v>
      </c>
      <c r="F165" s="3">
        <v>0</v>
      </c>
      <c r="G165" s="3">
        <v>2200</v>
      </c>
      <c r="H165" s="3" t="s">
        <v>54</v>
      </c>
      <c r="I165" s="3" t="s">
        <v>59</v>
      </c>
      <c r="J165" t="s">
        <v>143</v>
      </c>
      <c r="K165" s="3" t="s">
        <v>73</v>
      </c>
      <c r="L165" s="3" t="s">
        <v>73</v>
      </c>
      <c r="M165" s="3">
        <v>46057.728310185186</v>
      </c>
      <c r="Q165" t="s">
        <v>54</v>
      </c>
      <c r="R165">
        <v>0</v>
      </c>
      <c r="T165" t="s">
        <v>54</v>
      </c>
      <c r="U165" t="s">
        <v>54</v>
      </c>
      <c r="V165">
        <v>8241</v>
      </c>
      <c r="W165" t="s">
        <v>55</v>
      </c>
      <c r="X165" s="4"/>
    </row>
    <row r="166" spans="1:47" x14ac:dyDescent="0.25">
      <c r="A166" t="s">
        <v>96</v>
      </c>
      <c r="B166" s="1">
        <v>38525</v>
      </c>
      <c r="C166" t="s">
        <v>48</v>
      </c>
      <c r="D166" t="s">
        <v>49</v>
      </c>
      <c r="E166" s="2">
        <v>46058</v>
      </c>
      <c r="F166" s="3" t="s">
        <v>165</v>
      </c>
      <c r="G166" t="s">
        <v>69</v>
      </c>
      <c r="H166" s="3">
        <v>15280</v>
      </c>
      <c r="I166" s="3">
        <v>15280</v>
      </c>
      <c r="J166">
        <v>0</v>
      </c>
      <c r="K166" s="3">
        <v>15280</v>
      </c>
      <c r="L166" s="3">
        <v>2684</v>
      </c>
      <c r="M166" s="3">
        <v>1543.3</v>
      </c>
      <c r="N166" t="s">
        <v>52</v>
      </c>
      <c r="O166" t="s">
        <v>53</v>
      </c>
      <c r="P166" t="s">
        <v>53</v>
      </c>
      <c r="Q166" t="s">
        <v>53</v>
      </c>
      <c r="R166" t="s">
        <v>54</v>
      </c>
      <c r="S166" t="s">
        <v>54</v>
      </c>
      <c r="T166" t="s">
        <v>55</v>
      </c>
      <c r="U166">
        <v>126</v>
      </c>
      <c r="V166" t="s">
        <v>56</v>
      </c>
      <c r="W166" t="s">
        <v>152</v>
      </c>
      <c r="X166" s="4">
        <v>0</v>
      </c>
      <c r="Y166" t="s">
        <v>58</v>
      </c>
      <c r="Z166">
        <v>0</v>
      </c>
      <c r="AA166">
        <v>0</v>
      </c>
      <c r="AB166" s="3">
        <v>2684</v>
      </c>
      <c r="AC166">
        <v>0</v>
      </c>
      <c r="AD166">
        <v>0</v>
      </c>
      <c r="AE166" s="3">
        <v>4000</v>
      </c>
      <c r="AF166" t="s">
        <v>54</v>
      </c>
      <c r="AG166" t="s">
        <v>59</v>
      </c>
      <c r="AI166" t="s">
        <v>60</v>
      </c>
      <c r="AJ166" t="s">
        <v>60</v>
      </c>
      <c r="AK166" s="5">
        <v>46058.450324074074</v>
      </c>
      <c r="AO166" t="s">
        <v>54</v>
      </c>
      <c r="AP166">
        <v>0</v>
      </c>
      <c r="AR166" t="s">
        <v>54</v>
      </c>
      <c r="AS166" t="s">
        <v>54</v>
      </c>
      <c r="AT166">
        <v>322</v>
      </c>
      <c r="AU166" t="s">
        <v>55</v>
      </c>
    </row>
    <row r="167" spans="1:47" x14ac:dyDescent="0.25">
      <c r="A167" t="s">
        <v>47</v>
      </c>
      <c r="B167" s="1">
        <v>38526</v>
      </c>
      <c r="C167" t="s">
        <v>48</v>
      </c>
      <c r="D167" t="s">
        <v>49</v>
      </c>
      <c r="E167" s="2">
        <v>46059</v>
      </c>
      <c r="F167" s="3" t="s">
        <v>112</v>
      </c>
      <c r="G167" s="3" t="s">
        <v>113</v>
      </c>
      <c r="H167" s="3">
        <v>8100</v>
      </c>
      <c r="I167" s="3">
        <v>8100</v>
      </c>
      <c r="J167">
        <v>0</v>
      </c>
      <c r="K167" s="3">
        <v>8100</v>
      </c>
      <c r="L167" s="3">
        <v>1098</v>
      </c>
      <c r="M167" s="3">
        <v>700.52</v>
      </c>
      <c r="N167" t="s">
        <v>52</v>
      </c>
      <c r="O167" t="s">
        <v>53</v>
      </c>
      <c r="P167" t="s">
        <v>53</v>
      </c>
      <c r="Q167" t="s">
        <v>53</v>
      </c>
      <c r="R167" t="s">
        <v>54</v>
      </c>
      <c r="S167" t="s">
        <v>54</v>
      </c>
      <c r="T167" t="s">
        <v>55</v>
      </c>
      <c r="U167">
        <v>126</v>
      </c>
      <c r="V167" t="s">
        <v>56</v>
      </c>
      <c r="W167" t="s">
        <v>78</v>
      </c>
      <c r="X167" s="4">
        <v>0</v>
      </c>
      <c r="Y167" t="s">
        <v>58</v>
      </c>
      <c r="Z167">
        <v>0</v>
      </c>
      <c r="AA167">
        <v>0</v>
      </c>
      <c r="AB167" s="3">
        <v>1098</v>
      </c>
      <c r="AC167">
        <v>0</v>
      </c>
      <c r="AD167">
        <v>0</v>
      </c>
      <c r="AE167" s="3">
        <v>1500</v>
      </c>
      <c r="AF167" t="s">
        <v>54</v>
      </c>
      <c r="AG167" t="s">
        <v>59</v>
      </c>
      <c r="AH167" t="s">
        <v>115</v>
      </c>
      <c r="AI167" t="s">
        <v>92</v>
      </c>
      <c r="AJ167" t="s">
        <v>92</v>
      </c>
      <c r="AK167" s="5">
        <v>46059.494930555556</v>
      </c>
      <c r="AO167" t="s">
        <v>54</v>
      </c>
      <c r="AP167">
        <v>0</v>
      </c>
      <c r="AR167" t="s">
        <v>54</v>
      </c>
      <c r="AS167" t="s">
        <v>54</v>
      </c>
      <c r="AT167">
        <v>4089</v>
      </c>
      <c r="AU167" t="s">
        <v>55</v>
      </c>
    </row>
    <row r="168" spans="1:47" x14ac:dyDescent="0.25">
      <c r="A168" t="s">
        <v>47</v>
      </c>
      <c r="B168" s="1">
        <v>38527</v>
      </c>
      <c r="C168" t="s">
        <v>48</v>
      </c>
      <c r="D168" t="s">
        <v>49</v>
      </c>
      <c r="E168" s="2">
        <v>46059</v>
      </c>
      <c r="F168" t="s">
        <v>101</v>
      </c>
      <c r="G168" t="s">
        <v>94</v>
      </c>
      <c r="H168" s="3">
        <v>68640</v>
      </c>
      <c r="I168" s="3">
        <v>68640</v>
      </c>
      <c r="J168">
        <v>0</v>
      </c>
      <c r="K168" s="3">
        <v>78936</v>
      </c>
      <c r="L168" s="3">
        <v>14277</v>
      </c>
      <c r="M168" s="3">
        <v>5021.04</v>
      </c>
      <c r="N168" t="s">
        <v>84</v>
      </c>
      <c r="O168" t="s">
        <v>53</v>
      </c>
      <c r="P168" t="s">
        <v>53</v>
      </c>
      <c r="Q168" t="s">
        <v>53</v>
      </c>
      <c r="R168" t="s">
        <v>54</v>
      </c>
      <c r="S168" t="s">
        <v>54</v>
      </c>
      <c r="T168" t="s">
        <v>55</v>
      </c>
      <c r="U168">
        <v>9</v>
      </c>
      <c r="V168" t="s">
        <v>71</v>
      </c>
      <c r="W168" t="s">
        <v>102</v>
      </c>
      <c r="X168" s="4">
        <v>0</v>
      </c>
      <c r="Y168" t="s">
        <v>58</v>
      </c>
      <c r="Z168" s="3">
        <v>14277</v>
      </c>
      <c r="AA168">
        <v>0</v>
      </c>
      <c r="AB168">
        <v>0</v>
      </c>
      <c r="AC168">
        <v>0</v>
      </c>
      <c r="AD168">
        <v>0</v>
      </c>
      <c r="AE168" s="3">
        <v>21000</v>
      </c>
      <c r="AF168" t="s">
        <v>54</v>
      </c>
      <c r="AG168" t="s">
        <v>59</v>
      </c>
      <c r="AH168" t="s">
        <v>103</v>
      </c>
      <c r="AI168" t="s">
        <v>92</v>
      </c>
      <c r="AJ168" t="s">
        <v>92</v>
      </c>
      <c r="AK168" s="5">
        <v>46059.544537037036</v>
      </c>
      <c r="AO168" t="s">
        <v>54</v>
      </c>
      <c r="AP168">
        <v>0</v>
      </c>
      <c r="AR168" t="s">
        <v>54</v>
      </c>
      <c r="AS168" t="s">
        <v>54</v>
      </c>
      <c r="AT168">
        <v>161</v>
      </c>
      <c r="AU168" t="s">
        <v>55</v>
      </c>
    </row>
    <row r="169" spans="1:47" x14ac:dyDescent="0.25">
      <c r="A169" t="s">
        <v>47</v>
      </c>
      <c r="B169" s="1">
        <v>38528</v>
      </c>
      <c r="C169" t="s">
        <v>48</v>
      </c>
      <c r="D169" s="3" t="s">
        <v>49</v>
      </c>
      <c r="E169" s="2">
        <v>46059</v>
      </c>
      <c r="F169" t="s">
        <v>129</v>
      </c>
      <c r="G169" s="3" t="s">
        <v>130</v>
      </c>
      <c r="H169" s="3">
        <v>12082</v>
      </c>
      <c r="I169" s="3">
        <v>12082</v>
      </c>
      <c r="J169">
        <v>0</v>
      </c>
      <c r="K169" s="3">
        <v>13894.3</v>
      </c>
      <c r="L169" s="3">
        <v>2395.16</v>
      </c>
      <c r="M169" s="3">
        <v>897.31</v>
      </c>
      <c r="N169" t="s">
        <v>52</v>
      </c>
      <c r="O169" t="s">
        <v>53</v>
      </c>
      <c r="P169" t="s">
        <v>53</v>
      </c>
      <c r="Q169" t="s">
        <v>53</v>
      </c>
      <c r="R169" t="s">
        <v>54</v>
      </c>
      <c r="S169" t="s">
        <v>54</v>
      </c>
      <c r="T169" t="s">
        <v>55</v>
      </c>
      <c r="U169">
        <v>126</v>
      </c>
      <c r="V169" t="s">
        <v>56</v>
      </c>
      <c r="W169" t="s">
        <v>78</v>
      </c>
      <c r="X169" s="4">
        <v>0</v>
      </c>
      <c r="Y169" t="s">
        <v>62</v>
      </c>
      <c r="AB169" s="3"/>
      <c r="AE169" s="3"/>
      <c r="AK169" s="5"/>
    </row>
    <row r="170" spans="1:47" hidden="1" x14ac:dyDescent="0.25">
      <c r="A170" t="s">
        <v>63</v>
      </c>
      <c r="B170" s="1">
        <v>2102.36</v>
      </c>
      <c r="C170">
        <v>0</v>
      </c>
      <c r="D170">
        <v>0</v>
      </c>
      <c r="E170" s="2">
        <v>0</v>
      </c>
      <c r="F170">
        <v>292.8</v>
      </c>
      <c r="G170" s="3">
        <v>3820</v>
      </c>
      <c r="H170" s="3" t="s">
        <v>54</v>
      </c>
      <c r="I170" s="3" t="s">
        <v>59</v>
      </c>
      <c r="K170" s="3" t="s">
        <v>60</v>
      </c>
      <c r="L170" s="3" t="s">
        <v>60</v>
      </c>
      <c r="M170" s="3">
        <v>46059.583055555559</v>
      </c>
      <c r="Q170" t="s">
        <v>54</v>
      </c>
      <c r="R170">
        <v>0</v>
      </c>
      <c r="T170" t="s">
        <v>54</v>
      </c>
      <c r="U170" t="s">
        <v>54</v>
      </c>
      <c r="V170">
        <v>6379</v>
      </c>
      <c r="W170" t="s">
        <v>55</v>
      </c>
      <c r="X170" s="4"/>
      <c r="AD170" s="3"/>
      <c r="AE170" s="3"/>
      <c r="AK170" s="5"/>
    </row>
    <row r="171" spans="1:47" x14ac:dyDescent="0.25">
      <c r="A171" t="s">
        <v>96</v>
      </c>
      <c r="B171" s="1">
        <v>38530</v>
      </c>
      <c r="C171" t="s">
        <v>48</v>
      </c>
      <c r="D171" t="s">
        <v>49</v>
      </c>
      <c r="E171" s="2">
        <v>46059</v>
      </c>
      <c r="F171" t="s">
        <v>210</v>
      </c>
      <c r="G171" t="s">
        <v>119</v>
      </c>
      <c r="H171" s="3">
        <v>1569</v>
      </c>
      <c r="I171" s="3">
        <v>1569</v>
      </c>
      <c r="J171">
        <v>0</v>
      </c>
      <c r="K171" s="3">
        <v>1569</v>
      </c>
      <c r="L171" s="3">
        <v>297.89999999999998</v>
      </c>
      <c r="M171" s="3">
        <v>96.82</v>
      </c>
      <c r="N171" t="s">
        <v>52</v>
      </c>
      <c r="O171" t="s">
        <v>53</v>
      </c>
      <c r="P171" t="s">
        <v>53</v>
      </c>
      <c r="Q171" t="s">
        <v>53</v>
      </c>
      <c r="R171" t="s">
        <v>54</v>
      </c>
      <c r="S171" t="s">
        <v>54</v>
      </c>
      <c r="T171" t="s">
        <v>55</v>
      </c>
      <c r="U171">
        <v>126</v>
      </c>
      <c r="V171" t="s">
        <v>56</v>
      </c>
      <c r="W171" t="s">
        <v>95</v>
      </c>
      <c r="X171" s="4">
        <v>0</v>
      </c>
      <c r="Y171" t="s">
        <v>62</v>
      </c>
      <c r="AB171" s="3"/>
      <c r="AK171" s="5"/>
    </row>
    <row r="172" spans="1:47" hidden="1" x14ac:dyDescent="0.25">
      <c r="A172" t="s">
        <v>63</v>
      </c>
      <c r="B172" s="1">
        <v>297.89999999999998</v>
      </c>
      <c r="C172">
        <v>0</v>
      </c>
      <c r="D172">
        <v>0</v>
      </c>
      <c r="E172" s="2">
        <v>0</v>
      </c>
      <c r="F172">
        <v>0</v>
      </c>
      <c r="G172" s="3">
        <v>700</v>
      </c>
      <c r="H172" t="s">
        <v>54</v>
      </c>
      <c r="I172" t="s">
        <v>59</v>
      </c>
      <c r="K172" t="s">
        <v>60</v>
      </c>
      <c r="L172" t="s">
        <v>60</v>
      </c>
      <c r="M172" s="3">
        <v>46059.62740740741</v>
      </c>
      <c r="Q172" t="s">
        <v>54</v>
      </c>
      <c r="R172">
        <v>0</v>
      </c>
      <c r="T172" t="s">
        <v>54</v>
      </c>
      <c r="U172" t="s">
        <v>54</v>
      </c>
      <c r="V172">
        <v>8501</v>
      </c>
      <c r="W172" t="s">
        <v>55</v>
      </c>
      <c r="X172" s="4"/>
    </row>
    <row r="173" spans="1:47" x14ac:dyDescent="0.25">
      <c r="A173" t="s">
        <v>47</v>
      </c>
      <c r="B173" s="1">
        <v>38531</v>
      </c>
      <c r="C173" t="s">
        <v>48</v>
      </c>
      <c r="D173" t="s">
        <v>49</v>
      </c>
      <c r="E173" s="2">
        <v>46062</v>
      </c>
      <c r="F173" t="s">
        <v>68</v>
      </c>
      <c r="G173" t="s">
        <v>69</v>
      </c>
      <c r="H173" s="3">
        <v>3220</v>
      </c>
      <c r="I173" s="3">
        <v>3220</v>
      </c>
      <c r="J173">
        <v>0</v>
      </c>
      <c r="K173" s="3">
        <v>3703</v>
      </c>
      <c r="L173" s="3">
        <v>516</v>
      </c>
      <c r="M173" s="3">
        <v>242.52</v>
      </c>
      <c r="N173" t="s">
        <v>70</v>
      </c>
      <c r="O173" t="s">
        <v>53</v>
      </c>
      <c r="P173" t="s">
        <v>53</v>
      </c>
      <c r="Q173" t="s">
        <v>53</v>
      </c>
      <c r="R173" t="s">
        <v>54</v>
      </c>
      <c r="S173" t="s">
        <v>54</v>
      </c>
      <c r="T173" t="s">
        <v>55</v>
      </c>
      <c r="U173">
        <v>76</v>
      </c>
      <c r="V173" t="s">
        <v>71</v>
      </c>
      <c r="W173" t="s">
        <v>72</v>
      </c>
      <c r="X173" s="4">
        <v>0</v>
      </c>
      <c r="Y173" t="s">
        <v>62</v>
      </c>
      <c r="AB173" s="3"/>
      <c r="AK173" s="5"/>
    </row>
    <row r="174" spans="1:47" hidden="1" x14ac:dyDescent="0.25">
      <c r="A174" t="s">
        <v>63</v>
      </c>
      <c r="B174" s="1">
        <v>0</v>
      </c>
      <c r="C174">
        <v>0</v>
      </c>
      <c r="D174">
        <v>0</v>
      </c>
      <c r="E174" s="2">
        <v>0</v>
      </c>
      <c r="F174">
        <v>516</v>
      </c>
      <c r="G174" s="3">
        <v>400</v>
      </c>
      <c r="H174" s="3" t="s">
        <v>54</v>
      </c>
      <c r="I174" s="3" t="s">
        <v>59</v>
      </c>
      <c r="K174" s="3" t="s">
        <v>73</v>
      </c>
      <c r="L174" s="3" t="s">
        <v>73</v>
      </c>
      <c r="M174" s="3">
        <v>46062.387812499997</v>
      </c>
      <c r="Q174" t="s">
        <v>54</v>
      </c>
      <c r="R174">
        <v>0</v>
      </c>
      <c r="T174" t="s">
        <v>54</v>
      </c>
      <c r="U174" t="s">
        <v>54</v>
      </c>
      <c r="V174">
        <v>139</v>
      </c>
      <c r="W174" t="s">
        <v>55</v>
      </c>
      <c r="X174" s="4"/>
      <c r="Z174" s="3"/>
      <c r="AB174" s="3"/>
      <c r="AE174" s="3"/>
      <c r="AK174" s="5"/>
    </row>
    <row r="175" spans="1:47" x14ac:dyDescent="0.25">
      <c r="A175" t="s">
        <v>96</v>
      </c>
      <c r="B175" s="1">
        <v>38532</v>
      </c>
      <c r="C175" t="s">
        <v>48</v>
      </c>
      <c r="D175" t="s">
        <v>49</v>
      </c>
      <c r="E175" s="2">
        <v>46062</v>
      </c>
      <c r="F175" t="s">
        <v>192</v>
      </c>
      <c r="G175" t="s">
        <v>94</v>
      </c>
      <c r="H175" s="3">
        <v>12428</v>
      </c>
      <c r="I175" s="3">
        <v>12428</v>
      </c>
      <c r="J175">
        <v>0</v>
      </c>
      <c r="K175" s="3">
        <v>12428</v>
      </c>
      <c r="L175" s="3">
        <v>1247.4000000000001</v>
      </c>
      <c r="M175" s="3">
        <v>790.23</v>
      </c>
      <c r="N175" t="s">
        <v>193</v>
      </c>
      <c r="O175" t="s">
        <v>53</v>
      </c>
      <c r="P175" t="s">
        <v>53</v>
      </c>
      <c r="Q175" t="s">
        <v>53</v>
      </c>
      <c r="R175" t="s">
        <v>54</v>
      </c>
      <c r="S175" t="s">
        <v>54</v>
      </c>
      <c r="T175" t="s">
        <v>55</v>
      </c>
      <c r="U175">
        <v>138</v>
      </c>
      <c r="V175" t="s">
        <v>145</v>
      </c>
      <c r="W175" t="s">
        <v>72</v>
      </c>
      <c r="X175" s="4">
        <v>0</v>
      </c>
      <c r="Y175" t="s">
        <v>62</v>
      </c>
      <c r="AB175" s="3"/>
      <c r="AK175" s="5"/>
    </row>
    <row r="176" spans="1:47" hidden="1" x14ac:dyDescent="0.25">
      <c r="A176" t="s">
        <v>63</v>
      </c>
      <c r="B176" s="3">
        <v>0</v>
      </c>
      <c r="C176">
        <v>0</v>
      </c>
      <c r="D176" s="3">
        <v>259</v>
      </c>
      <c r="E176" s="2">
        <v>0</v>
      </c>
      <c r="F176">
        <v>988.4</v>
      </c>
      <c r="G176" s="3">
        <v>3400</v>
      </c>
      <c r="H176" s="3" t="s">
        <v>54</v>
      </c>
      <c r="I176" s="3" t="s">
        <v>59</v>
      </c>
      <c r="J176" t="s">
        <v>143</v>
      </c>
      <c r="K176" s="3" t="s">
        <v>92</v>
      </c>
      <c r="L176" t="s">
        <v>92</v>
      </c>
      <c r="M176" s="3">
        <v>46062.607604166667</v>
      </c>
      <c r="Q176" t="s">
        <v>54</v>
      </c>
      <c r="R176">
        <v>0</v>
      </c>
      <c r="T176" t="s">
        <v>54</v>
      </c>
      <c r="U176" t="s">
        <v>54</v>
      </c>
      <c r="V176">
        <v>2162</v>
      </c>
      <c r="W176" t="s">
        <v>55</v>
      </c>
      <c r="X176" s="4"/>
    </row>
    <row r="177" spans="1:47" x14ac:dyDescent="0.25">
      <c r="A177" t="s">
        <v>47</v>
      </c>
      <c r="B177" s="1">
        <v>38534</v>
      </c>
      <c r="C177" t="s">
        <v>48</v>
      </c>
      <c r="D177" t="s">
        <v>49</v>
      </c>
      <c r="E177" s="2">
        <v>46062</v>
      </c>
      <c r="F177" t="s">
        <v>218</v>
      </c>
      <c r="G177" t="s">
        <v>69</v>
      </c>
      <c r="H177" s="3">
        <v>240</v>
      </c>
      <c r="I177" s="3">
        <v>240</v>
      </c>
      <c r="J177">
        <v>0</v>
      </c>
      <c r="K177" s="3">
        <v>276</v>
      </c>
      <c r="L177" s="3">
        <v>68.400000000000006</v>
      </c>
      <c r="M177" s="3">
        <v>19.84</v>
      </c>
      <c r="N177" t="s">
        <v>77</v>
      </c>
      <c r="O177" t="s">
        <v>53</v>
      </c>
      <c r="P177" t="s">
        <v>53</v>
      </c>
      <c r="Q177" t="s">
        <v>53</v>
      </c>
      <c r="R177" t="s">
        <v>54</v>
      </c>
      <c r="S177" t="s">
        <v>54</v>
      </c>
      <c r="T177" t="s">
        <v>55</v>
      </c>
      <c r="U177">
        <v>83</v>
      </c>
      <c r="W177" t="s">
        <v>194</v>
      </c>
      <c r="X177" s="4">
        <v>0</v>
      </c>
      <c r="Y177" t="s">
        <v>62</v>
      </c>
    </row>
    <row r="178" spans="1:47" hidden="1" x14ac:dyDescent="0.25">
      <c r="A178" t="s">
        <v>63</v>
      </c>
      <c r="B178" s="1">
        <v>68.400000000000006</v>
      </c>
      <c r="C178">
        <v>0</v>
      </c>
      <c r="D178" s="3">
        <v>0</v>
      </c>
      <c r="E178" s="2">
        <v>0</v>
      </c>
      <c r="F178">
        <v>0</v>
      </c>
      <c r="G178" s="3">
        <v>60</v>
      </c>
      <c r="H178" s="3" t="s">
        <v>54</v>
      </c>
      <c r="I178" s="3" t="s">
        <v>59</v>
      </c>
      <c r="K178" s="3" t="s">
        <v>80</v>
      </c>
      <c r="L178" t="s">
        <v>73</v>
      </c>
      <c r="M178" s="3">
        <v>46062.663541666669</v>
      </c>
      <c r="Q178" t="s">
        <v>54</v>
      </c>
      <c r="R178">
        <v>0</v>
      </c>
      <c r="T178" t="s">
        <v>54</v>
      </c>
      <c r="U178" t="s">
        <v>54</v>
      </c>
      <c r="V178">
        <v>8858</v>
      </c>
      <c r="W178" t="s">
        <v>55</v>
      </c>
      <c r="X178" s="4"/>
      <c r="AK178" s="5"/>
    </row>
    <row r="179" spans="1:47" x14ac:dyDescent="0.25">
      <c r="A179" t="s">
        <v>47</v>
      </c>
      <c r="B179" s="1">
        <v>38535</v>
      </c>
      <c r="C179" t="s">
        <v>48</v>
      </c>
      <c r="D179" t="s">
        <v>49</v>
      </c>
      <c r="E179" s="2">
        <v>46062</v>
      </c>
      <c r="F179" t="s">
        <v>112</v>
      </c>
      <c r="G179" t="s">
        <v>113</v>
      </c>
      <c r="H179" s="3">
        <v>8160</v>
      </c>
      <c r="I179" s="3">
        <v>8160</v>
      </c>
      <c r="J179">
        <v>0</v>
      </c>
      <c r="K179" s="3">
        <v>8160</v>
      </c>
      <c r="L179" s="3">
        <v>1118</v>
      </c>
      <c r="M179" s="3">
        <v>609.30999999999995</v>
      </c>
      <c r="N179" t="s">
        <v>52</v>
      </c>
      <c r="O179" t="s">
        <v>53</v>
      </c>
      <c r="P179" t="s">
        <v>53</v>
      </c>
      <c r="Q179" t="s">
        <v>53</v>
      </c>
      <c r="R179" t="s">
        <v>54</v>
      </c>
      <c r="S179" t="s">
        <v>54</v>
      </c>
      <c r="T179" t="s">
        <v>55</v>
      </c>
      <c r="U179">
        <v>126</v>
      </c>
      <c r="V179" t="s">
        <v>56</v>
      </c>
      <c r="W179" t="s">
        <v>78</v>
      </c>
      <c r="X179" s="4">
        <v>0</v>
      </c>
      <c r="Y179" t="s">
        <v>58</v>
      </c>
      <c r="Z179" s="3">
        <v>1118</v>
      </c>
      <c r="AA179">
        <v>0</v>
      </c>
      <c r="AB179">
        <v>0</v>
      </c>
      <c r="AC179">
        <v>0</v>
      </c>
      <c r="AD179">
        <v>0</v>
      </c>
      <c r="AE179" s="3">
        <v>2000</v>
      </c>
      <c r="AF179" t="s">
        <v>54</v>
      </c>
      <c r="AG179" t="s">
        <v>59</v>
      </c>
      <c r="AH179" t="s">
        <v>115</v>
      </c>
      <c r="AI179" t="s">
        <v>92</v>
      </c>
      <c r="AJ179" t="s">
        <v>92</v>
      </c>
      <c r="AK179" s="5">
        <v>46062.690451388888</v>
      </c>
      <c r="AO179" t="s">
        <v>54</v>
      </c>
      <c r="AP179">
        <v>0</v>
      </c>
      <c r="AR179" t="s">
        <v>54</v>
      </c>
      <c r="AS179" t="s">
        <v>54</v>
      </c>
      <c r="AT179">
        <v>4089</v>
      </c>
      <c r="AU179" t="s">
        <v>55</v>
      </c>
    </row>
    <row r="180" spans="1:47" x14ac:dyDescent="0.25">
      <c r="A180" t="s">
        <v>47</v>
      </c>
      <c r="B180" s="3">
        <v>38536</v>
      </c>
      <c r="C180" t="s">
        <v>48</v>
      </c>
      <c r="D180" t="s">
        <v>49</v>
      </c>
      <c r="E180" s="2">
        <v>46062</v>
      </c>
      <c r="F180" t="s">
        <v>101</v>
      </c>
      <c r="G180" s="3" t="s">
        <v>94</v>
      </c>
      <c r="H180" s="3">
        <v>7490</v>
      </c>
      <c r="I180" s="3">
        <v>7490</v>
      </c>
      <c r="J180">
        <v>0</v>
      </c>
      <c r="K180" s="3">
        <v>8613.5</v>
      </c>
      <c r="L180" s="3">
        <v>1578</v>
      </c>
      <c r="M180" s="3">
        <v>499.74</v>
      </c>
      <c r="N180" t="s">
        <v>84</v>
      </c>
      <c r="O180" t="s">
        <v>53</v>
      </c>
      <c r="P180" t="s">
        <v>53</v>
      </c>
      <c r="Q180" t="s">
        <v>53</v>
      </c>
      <c r="R180" t="s">
        <v>54</v>
      </c>
      <c r="S180" t="s">
        <v>54</v>
      </c>
      <c r="T180" t="s">
        <v>55</v>
      </c>
      <c r="U180">
        <v>9</v>
      </c>
      <c r="V180" t="s">
        <v>71</v>
      </c>
      <c r="W180" t="s">
        <v>102</v>
      </c>
      <c r="X180" s="4">
        <v>0</v>
      </c>
      <c r="Y180" t="s">
        <v>58</v>
      </c>
      <c r="Z180" s="3">
        <v>1578</v>
      </c>
      <c r="AA180">
        <v>0</v>
      </c>
      <c r="AB180" s="3">
        <v>0</v>
      </c>
      <c r="AC180">
        <v>0</v>
      </c>
      <c r="AD180">
        <v>0</v>
      </c>
      <c r="AE180" s="3">
        <v>5000</v>
      </c>
      <c r="AF180" t="s">
        <v>54</v>
      </c>
      <c r="AG180" t="s">
        <v>59</v>
      </c>
      <c r="AH180" t="s">
        <v>103</v>
      </c>
      <c r="AI180" t="s">
        <v>92</v>
      </c>
      <c r="AJ180" t="s">
        <v>92</v>
      </c>
      <c r="AK180" s="5">
        <v>46062.736458333333</v>
      </c>
      <c r="AO180" t="s">
        <v>54</v>
      </c>
      <c r="AP180">
        <v>0</v>
      </c>
      <c r="AR180" t="s">
        <v>54</v>
      </c>
      <c r="AS180" t="s">
        <v>54</v>
      </c>
      <c r="AT180">
        <v>161</v>
      </c>
      <c r="AU180" t="s">
        <v>55</v>
      </c>
    </row>
    <row r="181" spans="1:47" x14ac:dyDescent="0.25">
      <c r="A181" t="s">
        <v>96</v>
      </c>
      <c r="B181" s="1">
        <v>38537</v>
      </c>
      <c r="C181" t="s">
        <v>48</v>
      </c>
      <c r="D181" t="s">
        <v>49</v>
      </c>
      <c r="E181" s="2">
        <v>46063</v>
      </c>
      <c r="F181" t="s">
        <v>144</v>
      </c>
      <c r="G181" t="s">
        <v>66</v>
      </c>
      <c r="H181" s="3">
        <v>15450</v>
      </c>
      <c r="I181" s="3">
        <v>15450</v>
      </c>
      <c r="J181">
        <v>0</v>
      </c>
      <c r="K181" s="3">
        <v>15450</v>
      </c>
      <c r="L181" s="3">
        <v>2910</v>
      </c>
      <c r="M181" s="3">
        <v>1367.7</v>
      </c>
      <c r="N181" t="s">
        <v>84</v>
      </c>
      <c r="O181" t="s">
        <v>53</v>
      </c>
      <c r="P181" t="s">
        <v>53</v>
      </c>
      <c r="Q181" t="s">
        <v>53</v>
      </c>
      <c r="R181" t="s">
        <v>54</v>
      </c>
      <c r="S181" t="s">
        <v>54</v>
      </c>
      <c r="T181" t="s">
        <v>55</v>
      </c>
      <c r="U181">
        <v>9</v>
      </c>
      <c r="V181" t="s">
        <v>145</v>
      </c>
      <c r="W181" t="s">
        <v>146</v>
      </c>
      <c r="X181" s="4">
        <v>0</v>
      </c>
      <c r="Y181" t="s">
        <v>58</v>
      </c>
      <c r="Z181">
        <v>0</v>
      </c>
      <c r="AA181">
        <v>0</v>
      </c>
      <c r="AB181">
        <v>0</v>
      </c>
      <c r="AC181">
        <v>0</v>
      </c>
      <c r="AD181" s="3">
        <v>2910</v>
      </c>
      <c r="AE181" s="3">
        <v>5000</v>
      </c>
      <c r="AF181" t="s">
        <v>54</v>
      </c>
      <c r="AG181" t="s">
        <v>59</v>
      </c>
      <c r="AI181" t="s">
        <v>73</v>
      </c>
      <c r="AJ181" t="s">
        <v>73</v>
      </c>
      <c r="AK181" s="5">
        <v>46063.376909722225</v>
      </c>
      <c r="AO181" t="s">
        <v>54</v>
      </c>
      <c r="AP181">
        <v>0</v>
      </c>
      <c r="AR181" t="s">
        <v>54</v>
      </c>
      <c r="AS181" t="s">
        <v>54</v>
      </c>
      <c r="AT181">
        <v>1301</v>
      </c>
      <c r="AU181" t="s">
        <v>55</v>
      </c>
    </row>
    <row r="182" spans="1:47" x14ac:dyDescent="0.25">
      <c r="A182" t="s">
        <v>96</v>
      </c>
      <c r="B182" s="1">
        <v>38538</v>
      </c>
      <c r="C182" t="s">
        <v>48</v>
      </c>
      <c r="D182" t="s">
        <v>49</v>
      </c>
      <c r="E182" s="2">
        <v>46063</v>
      </c>
      <c r="F182" t="s">
        <v>144</v>
      </c>
      <c r="G182" s="3" t="s">
        <v>66</v>
      </c>
      <c r="H182" s="3">
        <v>15450</v>
      </c>
      <c r="I182" s="3">
        <v>15450</v>
      </c>
      <c r="J182">
        <v>0</v>
      </c>
      <c r="K182" s="3">
        <v>15450</v>
      </c>
      <c r="L182" s="3">
        <v>2910</v>
      </c>
      <c r="M182" s="3">
        <v>1367.7</v>
      </c>
      <c r="N182" t="s">
        <v>84</v>
      </c>
      <c r="O182" t="s">
        <v>53</v>
      </c>
      <c r="P182" t="s">
        <v>53</v>
      </c>
      <c r="Q182" t="s">
        <v>53</v>
      </c>
      <c r="R182" t="s">
        <v>54</v>
      </c>
      <c r="S182" t="s">
        <v>54</v>
      </c>
      <c r="T182" t="s">
        <v>55</v>
      </c>
      <c r="U182">
        <v>9</v>
      </c>
      <c r="V182" t="s">
        <v>145</v>
      </c>
      <c r="W182" t="s">
        <v>146</v>
      </c>
      <c r="X182" s="4">
        <v>0</v>
      </c>
      <c r="Y182" t="s">
        <v>58</v>
      </c>
      <c r="Z182" s="3">
        <v>0</v>
      </c>
      <c r="AA182">
        <v>0</v>
      </c>
      <c r="AB182">
        <v>0</v>
      </c>
      <c r="AC182">
        <v>0</v>
      </c>
      <c r="AD182" s="3">
        <v>2910</v>
      </c>
      <c r="AE182" s="3">
        <v>5000</v>
      </c>
      <c r="AF182" t="s">
        <v>54</v>
      </c>
      <c r="AG182" t="s">
        <v>59</v>
      </c>
      <c r="AI182" t="s">
        <v>73</v>
      </c>
      <c r="AJ182" t="s">
        <v>73</v>
      </c>
      <c r="AK182" s="5">
        <v>46063.376122685186</v>
      </c>
      <c r="AO182" t="s">
        <v>54</v>
      </c>
      <c r="AP182">
        <v>0</v>
      </c>
      <c r="AR182" t="s">
        <v>54</v>
      </c>
      <c r="AS182" t="s">
        <v>54</v>
      </c>
      <c r="AT182">
        <v>1301</v>
      </c>
      <c r="AU182" t="s">
        <v>55</v>
      </c>
    </row>
    <row r="183" spans="1:47" x14ac:dyDescent="0.25">
      <c r="A183" t="s">
        <v>96</v>
      </c>
      <c r="B183" s="1">
        <v>38540</v>
      </c>
      <c r="C183" t="s">
        <v>48</v>
      </c>
      <c r="D183" t="s">
        <v>49</v>
      </c>
      <c r="E183" s="2">
        <v>46063</v>
      </c>
      <c r="F183" t="s">
        <v>183</v>
      </c>
      <c r="G183" t="s">
        <v>184</v>
      </c>
      <c r="H183" s="3">
        <v>4360</v>
      </c>
      <c r="I183" s="3">
        <v>4360</v>
      </c>
      <c r="J183">
        <v>0</v>
      </c>
      <c r="K183" s="3">
        <v>4360</v>
      </c>
      <c r="L183" s="3">
        <v>1104</v>
      </c>
      <c r="M183" s="3">
        <v>358.8</v>
      </c>
      <c r="N183" t="s">
        <v>52</v>
      </c>
      <c r="O183" t="s">
        <v>53</v>
      </c>
      <c r="P183" t="s">
        <v>53</v>
      </c>
      <c r="Q183" t="s">
        <v>53</v>
      </c>
      <c r="R183" t="s">
        <v>54</v>
      </c>
      <c r="S183" t="s">
        <v>54</v>
      </c>
      <c r="T183" t="s">
        <v>55</v>
      </c>
      <c r="U183">
        <v>126</v>
      </c>
      <c r="V183" t="s">
        <v>56</v>
      </c>
      <c r="W183" t="s">
        <v>95</v>
      </c>
      <c r="X183" s="4">
        <v>0</v>
      </c>
      <c r="Y183" t="s">
        <v>58</v>
      </c>
      <c r="Z183" s="3">
        <v>1104</v>
      </c>
      <c r="AA183">
        <v>0</v>
      </c>
      <c r="AB183">
        <v>0</v>
      </c>
      <c r="AC183">
        <v>0</v>
      </c>
      <c r="AD183">
        <v>0</v>
      </c>
      <c r="AE183" s="3">
        <v>2000</v>
      </c>
      <c r="AF183" t="s">
        <v>54</v>
      </c>
      <c r="AG183" t="s">
        <v>59</v>
      </c>
      <c r="AI183" t="s">
        <v>60</v>
      </c>
      <c r="AJ183" t="s">
        <v>60</v>
      </c>
      <c r="AK183" s="5">
        <v>46063.562696759262</v>
      </c>
      <c r="AO183" t="s">
        <v>54</v>
      </c>
      <c r="AP183">
        <v>0</v>
      </c>
      <c r="AR183" t="s">
        <v>54</v>
      </c>
      <c r="AS183" t="s">
        <v>54</v>
      </c>
      <c r="AT183">
        <v>5478</v>
      </c>
      <c r="AU183" t="s">
        <v>55</v>
      </c>
    </row>
    <row r="184" spans="1:47" x14ac:dyDescent="0.25">
      <c r="A184" t="s">
        <v>96</v>
      </c>
      <c r="B184" s="3">
        <v>38542</v>
      </c>
      <c r="C184" t="s">
        <v>48</v>
      </c>
      <c r="D184" t="s">
        <v>49</v>
      </c>
      <c r="E184" s="2">
        <v>46063</v>
      </c>
      <c r="F184" t="s">
        <v>219</v>
      </c>
      <c r="G184" s="3" t="s">
        <v>94</v>
      </c>
      <c r="H184" s="3">
        <v>9320</v>
      </c>
      <c r="I184" s="3">
        <v>9320</v>
      </c>
      <c r="J184">
        <v>0</v>
      </c>
      <c r="K184" s="3">
        <v>9320</v>
      </c>
      <c r="L184" s="3">
        <v>1896</v>
      </c>
      <c r="M184" s="3">
        <v>929.04</v>
      </c>
      <c r="N184" t="s">
        <v>52</v>
      </c>
      <c r="O184" t="s">
        <v>53</v>
      </c>
      <c r="P184" t="s">
        <v>53</v>
      </c>
      <c r="Q184" t="s">
        <v>53</v>
      </c>
      <c r="R184" t="s">
        <v>54</v>
      </c>
      <c r="S184" t="s">
        <v>54</v>
      </c>
      <c r="T184" t="s">
        <v>55</v>
      </c>
      <c r="U184">
        <v>126</v>
      </c>
      <c r="V184" t="s">
        <v>56</v>
      </c>
      <c r="W184" t="s">
        <v>72</v>
      </c>
      <c r="X184" s="4">
        <v>0</v>
      </c>
      <c r="Y184" t="s">
        <v>58</v>
      </c>
      <c r="Z184" s="3">
        <v>1896</v>
      </c>
      <c r="AA184">
        <v>0</v>
      </c>
      <c r="AB184">
        <v>0</v>
      </c>
      <c r="AC184">
        <v>0</v>
      </c>
      <c r="AD184">
        <v>0</v>
      </c>
      <c r="AE184" s="3">
        <v>4000</v>
      </c>
      <c r="AF184" t="s">
        <v>54</v>
      </c>
      <c r="AG184" t="s">
        <v>59</v>
      </c>
      <c r="AI184" t="s">
        <v>73</v>
      </c>
      <c r="AJ184" t="s">
        <v>73</v>
      </c>
      <c r="AK184" s="5">
        <v>46063.71638888889</v>
      </c>
      <c r="AO184" t="s">
        <v>54</v>
      </c>
      <c r="AP184">
        <v>0</v>
      </c>
      <c r="AR184" t="s">
        <v>54</v>
      </c>
      <c r="AS184" t="s">
        <v>54</v>
      </c>
      <c r="AT184">
        <v>5117</v>
      </c>
      <c r="AU184" t="s">
        <v>55</v>
      </c>
    </row>
    <row r="185" spans="1:47" x14ac:dyDescent="0.25">
      <c r="A185" t="s">
        <v>136</v>
      </c>
      <c r="B185" s="1">
        <v>38543</v>
      </c>
      <c r="C185" t="s">
        <v>48</v>
      </c>
      <c r="D185" t="s">
        <v>49</v>
      </c>
      <c r="E185" s="2">
        <v>46064</v>
      </c>
      <c r="F185" t="s">
        <v>187</v>
      </c>
      <c r="G185" t="s">
        <v>94</v>
      </c>
      <c r="H185" s="3">
        <v>6880</v>
      </c>
      <c r="I185" s="3">
        <v>6880</v>
      </c>
      <c r="J185">
        <v>0</v>
      </c>
      <c r="K185" s="3">
        <v>6880</v>
      </c>
      <c r="L185" s="3">
        <v>1153</v>
      </c>
      <c r="M185" s="3">
        <v>513.59</v>
      </c>
      <c r="N185" t="s">
        <v>106</v>
      </c>
      <c r="O185" t="s">
        <v>53</v>
      </c>
      <c r="P185" t="s">
        <v>53</v>
      </c>
      <c r="Q185" t="s">
        <v>53</v>
      </c>
      <c r="R185" t="s">
        <v>54</v>
      </c>
      <c r="S185" t="s">
        <v>54</v>
      </c>
      <c r="T185" t="s">
        <v>55</v>
      </c>
      <c r="U185">
        <v>145</v>
      </c>
      <c r="V185" t="s">
        <v>99</v>
      </c>
      <c r="W185" t="s">
        <v>134</v>
      </c>
      <c r="X185" s="4">
        <v>0</v>
      </c>
      <c r="Y185" t="s">
        <v>58</v>
      </c>
      <c r="Z185" s="3">
        <v>275</v>
      </c>
      <c r="AA185">
        <v>0</v>
      </c>
      <c r="AB185">
        <v>0</v>
      </c>
      <c r="AC185">
        <v>0</v>
      </c>
      <c r="AD185" s="3">
        <v>878</v>
      </c>
      <c r="AE185" s="3">
        <v>1500</v>
      </c>
      <c r="AF185" t="s">
        <v>54</v>
      </c>
      <c r="AG185" t="s">
        <v>59</v>
      </c>
      <c r="AI185" t="s">
        <v>73</v>
      </c>
      <c r="AJ185" t="s">
        <v>73</v>
      </c>
      <c r="AK185" s="5">
        <v>46064.455208333333</v>
      </c>
      <c r="AO185" t="s">
        <v>54</v>
      </c>
      <c r="AP185">
        <v>0</v>
      </c>
      <c r="AR185" t="s">
        <v>54</v>
      </c>
      <c r="AS185" t="s">
        <v>54</v>
      </c>
      <c r="AT185">
        <v>251</v>
      </c>
      <c r="AU185" t="s">
        <v>55</v>
      </c>
    </row>
    <row r="186" spans="1:47" x14ac:dyDescent="0.25">
      <c r="A186" t="s">
        <v>96</v>
      </c>
      <c r="B186" s="1">
        <v>38544</v>
      </c>
      <c r="C186" t="s">
        <v>48</v>
      </c>
      <c r="D186" t="s">
        <v>49</v>
      </c>
      <c r="E186" s="2">
        <v>46064</v>
      </c>
      <c r="F186" t="s">
        <v>201</v>
      </c>
      <c r="G186" s="3" t="s">
        <v>69</v>
      </c>
      <c r="H186" s="3">
        <v>3576</v>
      </c>
      <c r="I186" s="3">
        <v>3576</v>
      </c>
      <c r="J186">
        <v>0</v>
      </c>
      <c r="K186" s="3">
        <v>3576</v>
      </c>
      <c r="L186" s="3">
        <v>643.20000000000005</v>
      </c>
      <c r="M186" s="3">
        <v>302.3</v>
      </c>
      <c r="N186" t="s">
        <v>77</v>
      </c>
      <c r="O186" t="s">
        <v>53</v>
      </c>
      <c r="P186" t="s">
        <v>53</v>
      </c>
      <c r="Q186" t="s">
        <v>53</v>
      </c>
      <c r="R186" t="s">
        <v>54</v>
      </c>
      <c r="S186" t="s">
        <v>54</v>
      </c>
      <c r="T186" t="s">
        <v>55</v>
      </c>
      <c r="U186">
        <v>83</v>
      </c>
      <c r="W186" t="s">
        <v>134</v>
      </c>
      <c r="X186" s="4">
        <v>0</v>
      </c>
      <c r="Y186" t="s">
        <v>58</v>
      </c>
      <c r="Z186">
        <v>0</v>
      </c>
      <c r="AA186">
        <v>0</v>
      </c>
      <c r="AB186">
        <v>0</v>
      </c>
      <c r="AC186">
        <v>0</v>
      </c>
      <c r="AD186">
        <v>643.20000000000005</v>
      </c>
      <c r="AE186" s="3">
        <v>2400</v>
      </c>
      <c r="AF186" t="s">
        <v>54</v>
      </c>
      <c r="AG186" t="s">
        <v>59</v>
      </c>
      <c r="AI186" t="s">
        <v>80</v>
      </c>
      <c r="AJ186" t="s">
        <v>73</v>
      </c>
      <c r="AK186" s="5">
        <v>46064.578784722224</v>
      </c>
      <c r="AO186" t="s">
        <v>54</v>
      </c>
      <c r="AP186">
        <v>0</v>
      </c>
      <c r="AR186" t="s">
        <v>54</v>
      </c>
      <c r="AS186" t="s">
        <v>54</v>
      </c>
      <c r="AT186">
        <v>4097</v>
      </c>
      <c r="AU186" t="s">
        <v>55</v>
      </c>
    </row>
    <row r="187" spans="1:47" x14ac:dyDescent="0.25">
      <c r="A187" t="s">
        <v>47</v>
      </c>
      <c r="B187" s="1">
        <v>38545</v>
      </c>
      <c r="C187" t="s">
        <v>48</v>
      </c>
      <c r="D187" s="3" t="s">
        <v>49</v>
      </c>
      <c r="E187" s="2">
        <v>46064</v>
      </c>
      <c r="F187" t="s">
        <v>196</v>
      </c>
      <c r="G187" s="3" t="s">
        <v>87</v>
      </c>
      <c r="H187" s="3">
        <v>7000</v>
      </c>
      <c r="I187" s="3">
        <v>7000</v>
      </c>
      <c r="J187">
        <v>0</v>
      </c>
      <c r="K187" s="3">
        <v>8050</v>
      </c>
      <c r="L187" s="3">
        <v>1041</v>
      </c>
      <c r="M187" s="3">
        <v>655.83</v>
      </c>
      <c r="N187" t="s">
        <v>52</v>
      </c>
      <c r="O187" t="s">
        <v>53</v>
      </c>
      <c r="P187" t="s">
        <v>53</v>
      </c>
      <c r="Q187" t="s">
        <v>53</v>
      </c>
      <c r="R187" t="s">
        <v>54</v>
      </c>
      <c r="S187" t="s">
        <v>54</v>
      </c>
      <c r="T187" t="s">
        <v>55</v>
      </c>
      <c r="U187">
        <v>126</v>
      </c>
      <c r="V187" t="s">
        <v>56</v>
      </c>
      <c r="W187" t="s">
        <v>168</v>
      </c>
      <c r="X187" s="4">
        <v>0</v>
      </c>
      <c r="Y187" t="s">
        <v>62</v>
      </c>
    </row>
    <row r="188" spans="1:47" hidden="1" x14ac:dyDescent="0.25">
      <c r="A188" t="s">
        <v>63</v>
      </c>
      <c r="B188" s="1">
        <v>0</v>
      </c>
      <c r="C188">
        <v>0</v>
      </c>
      <c r="D188" s="3">
        <v>1041</v>
      </c>
      <c r="E188" s="2">
        <v>0</v>
      </c>
      <c r="F188">
        <v>0</v>
      </c>
      <c r="G188" s="3">
        <v>1000</v>
      </c>
      <c r="H188" s="3" t="s">
        <v>54</v>
      </c>
      <c r="I188" s="3" t="s">
        <v>59</v>
      </c>
      <c r="K188" s="3" t="s">
        <v>60</v>
      </c>
      <c r="L188" s="3" t="s">
        <v>73</v>
      </c>
      <c r="M188" s="3">
        <v>46064.596574074072</v>
      </c>
      <c r="Q188" t="s">
        <v>54</v>
      </c>
      <c r="R188">
        <v>0</v>
      </c>
      <c r="T188" t="s">
        <v>54</v>
      </c>
      <c r="U188" t="s">
        <v>54</v>
      </c>
      <c r="V188">
        <v>7376</v>
      </c>
      <c r="W188" t="s">
        <v>55</v>
      </c>
      <c r="X188" s="4"/>
      <c r="Z188" s="3"/>
      <c r="AD188" s="3"/>
      <c r="AE188" s="3"/>
      <c r="AK188" s="5"/>
    </row>
    <row r="189" spans="1:47" x14ac:dyDescent="0.25">
      <c r="A189" t="s">
        <v>47</v>
      </c>
      <c r="B189" s="1">
        <v>38546</v>
      </c>
      <c r="C189" t="s">
        <v>48</v>
      </c>
      <c r="D189" t="s">
        <v>49</v>
      </c>
      <c r="E189" s="2">
        <v>46064</v>
      </c>
      <c r="F189" t="s">
        <v>118</v>
      </c>
      <c r="G189" t="s">
        <v>119</v>
      </c>
      <c r="H189" s="3">
        <v>1685.25</v>
      </c>
      <c r="I189" s="3">
        <v>1685.25</v>
      </c>
      <c r="J189">
        <v>0</v>
      </c>
      <c r="K189" s="3">
        <v>1938.04</v>
      </c>
      <c r="L189" s="3">
        <v>262.43</v>
      </c>
      <c r="M189" s="3">
        <v>150.9</v>
      </c>
      <c r="N189" t="s">
        <v>77</v>
      </c>
      <c r="O189" t="s">
        <v>53</v>
      </c>
      <c r="P189" t="s">
        <v>53</v>
      </c>
      <c r="Q189" t="s">
        <v>53</v>
      </c>
      <c r="R189" t="s">
        <v>54</v>
      </c>
      <c r="S189" t="s">
        <v>54</v>
      </c>
      <c r="T189" t="s">
        <v>55</v>
      </c>
      <c r="U189">
        <v>83</v>
      </c>
      <c r="W189" t="s">
        <v>85</v>
      </c>
      <c r="X189" s="4">
        <v>0</v>
      </c>
      <c r="Y189" t="s">
        <v>58</v>
      </c>
      <c r="Z189">
        <v>0</v>
      </c>
      <c r="AA189">
        <v>0</v>
      </c>
      <c r="AB189">
        <v>262.43</v>
      </c>
      <c r="AC189">
        <v>0</v>
      </c>
      <c r="AD189" s="3">
        <v>0</v>
      </c>
      <c r="AE189" s="3">
        <v>75</v>
      </c>
      <c r="AF189" t="s">
        <v>54</v>
      </c>
      <c r="AG189" t="s">
        <v>59</v>
      </c>
      <c r="AI189" t="s">
        <v>80</v>
      </c>
      <c r="AJ189" t="s">
        <v>73</v>
      </c>
      <c r="AK189" s="5">
        <v>46064.552233796298</v>
      </c>
      <c r="AO189" t="s">
        <v>54</v>
      </c>
      <c r="AP189">
        <v>0</v>
      </c>
      <c r="AR189" t="s">
        <v>54</v>
      </c>
      <c r="AS189" t="s">
        <v>54</v>
      </c>
      <c r="AT189">
        <v>4900</v>
      </c>
      <c r="AU189" t="s">
        <v>55</v>
      </c>
    </row>
    <row r="190" spans="1:47" x14ac:dyDescent="0.25">
      <c r="A190" t="s">
        <v>47</v>
      </c>
      <c r="B190" s="1">
        <v>38547</v>
      </c>
      <c r="C190" t="s">
        <v>48</v>
      </c>
      <c r="D190" s="3" t="s">
        <v>49</v>
      </c>
      <c r="E190" s="2">
        <v>46064</v>
      </c>
      <c r="F190" t="s">
        <v>118</v>
      </c>
      <c r="G190" t="s">
        <v>119</v>
      </c>
      <c r="H190" s="3">
        <v>1685.25</v>
      </c>
      <c r="I190" s="3">
        <v>1685.25</v>
      </c>
      <c r="J190">
        <v>0</v>
      </c>
      <c r="K190" s="3">
        <v>1938.04</v>
      </c>
      <c r="L190" s="3">
        <v>262.43</v>
      </c>
      <c r="M190" s="3">
        <v>150.9</v>
      </c>
      <c r="N190" t="s">
        <v>77</v>
      </c>
      <c r="O190" t="s">
        <v>53</v>
      </c>
      <c r="P190" t="s">
        <v>53</v>
      </c>
      <c r="Q190" t="s">
        <v>53</v>
      </c>
      <c r="R190" t="s">
        <v>54</v>
      </c>
      <c r="S190" t="s">
        <v>54</v>
      </c>
      <c r="T190" t="s">
        <v>55</v>
      </c>
      <c r="U190">
        <v>83</v>
      </c>
      <c r="W190" t="s">
        <v>85</v>
      </c>
      <c r="X190" s="4">
        <v>0</v>
      </c>
      <c r="Y190" t="s">
        <v>58</v>
      </c>
      <c r="Z190">
        <v>0</v>
      </c>
      <c r="AA190">
        <v>0</v>
      </c>
      <c r="AB190">
        <v>262.43</v>
      </c>
      <c r="AC190">
        <v>0</v>
      </c>
      <c r="AD190" s="3">
        <v>0</v>
      </c>
      <c r="AE190" s="3">
        <v>75</v>
      </c>
      <c r="AF190" t="s">
        <v>54</v>
      </c>
      <c r="AG190" t="s">
        <v>59</v>
      </c>
      <c r="AI190" t="s">
        <v>80</v>
      </c>
      <c r="AJ190" t="s">
        <v>73</v>
      </c>
      <c r="AK190" s="5">
        <v>46064.552372685182</v>
      </c>
      <c r="AO190" t="s">
        <v>54</v>
      </c>
      <c r="AP190">
        <v>0</v>
      </c>
      <c r="AR190" t="s">
        <v>54</v>
      </c>
      <c r="AS190" t="s">
        <v>54</v>
      </c>
      <c r="AT190">
        <v>4900</v>
      </c>
      <c r="AU190" t="s">
        <v>55</v>
      </c>
    </row>
    <row r="191" spans="1:47" x14ac:dyDescent="0.25">
      <c r="A191" t="s">
        <v>96</v>
      </c>
      <c r="B191" s="1">
        <v>38548</v>
      </c>
      <c r="C191" t="s">
        <v>48</v>
      </c>
      <c r="D191" t="s">
        <v>49</v>
      </c>
      <c r="E191" s="2">
        <v>46064</v>
      </c>
      <c r="F191" t="s">
        <v>120</v>
      </c>
      <c r="G191" t="s">
        <v>69</v>
      </c>
      <c r="H191" s="3">
        <v>8798</v>
      </c>
      <c r="I191" s="3">
        <v>8798</v>
      </c>
      <c r="J191">
        <v>0</v>
      </c>
      <c r="K191" s="3">
        <v>8798</v>
      </c>
      <c r="L191" s="3">
        <v>1495.3</v>
      </c>
      <c r="M191" s="3">
        <v>702.79</v>
      </c>
      <c r="N191" t="s">
        <v>77</v>
      </c>
      <c r="O191" t="s">
        <v>53</v>
      </c>
      <c r="P191" t="s">
        <v>53</v>
      </c>
      <c r="Q191" t="s">
        <v>53</v>
      </c>
      <c r="R191" t="s">
        <v>54</v>
      </c>
      <c r="S191" t="s">
        <v>54</v>
      </c>
      <c r="T191" t="s">
        <v>55</v>
      </c>
      <c r="U191">
        <v>83</v>
      </c>
      <c r="V191" t="s">
        <v>121</v>
      </c>
      <c r="W191" t="s">
        <v>122</v>
      </c>
      <c r="X191" s="4">
        <v>0</v>
      </c>
      <c r="Y191" t="s">
        <v>58</v>
      </c>
      <c r="Z191" s="3">
        <v>0</v>
      </c>
      <c r="AA191">
        <v>0</v>
      </c>
      <c r="AB191">
        <v>0</v>
      </c>
      <c r="AC191">
        <v>0</v>
      </c>
      <c r="AD191" s="3">
        <v>1495.3</v>
      </c>
      <c r="AE191" s="3">
        <v>1700</v>
      </c>
      <c r="AF191" t="s">
        <v>54</v>
      </c>
      <c r="AG191" t="s">
        <v>59</v>
      </c>
      <c r="AH191" t="s">
        <v>79</v>
      </c>
      <c r="AI191" t="s">
        <v>73</v>
      </c>
      <c r="AJ191" t="s">
        <v>73</v>
      </c>
      <c r="AK191" s="5">
        <v>46064.574571759258</v>
      </c>
      <c r="AO191" t="s">
        <v>54</v>
      </c>
      <c r="AP191">
        <v>0</v>
      </c>
      <c r="AR191" t="s">
        <v>54</v>
      </c>
      <c r="AS191" t="s">
        <v>54</v>
      </c>
      <c r="AT191">
        <v>6081</v>
      </c>
      <c r="AU191" t="s">
        <v>55</v>
      </c>
    </row>
    <row r="192" spans="1:47" x14ac:dyDescent="0.25">
      <c r="A192" t="s">
        <v>81</v>
      </c>
      <c r="B192" s="1">
        <v>38549</v>
      </c>
      <c r="C192" t="s">
        <v>48</v>
      </c>
      <c r="D192" t="s">
        <v>49</v>
      </c>
      <c r="E192" s="2">
        <v>46064</v>
      </c>
      <c r="F192" t="s">
        <v>116</v>
      </c>
      <c r="G192" s="3" t="s">
        <v>66</v>
      </c>
      <c r="H192" s="3">
        <v>22050</v>
      </c>
      <c r="I192" s="3">
        <v>22050</v>
      </c>
      <c r="J192">
        <v>0</v>
      </c>
      <c r="K192" s="3">
        <v>22050</v>
      </c>
      <c r="L192" s="3">
        <v>6115</v>
      </c>
      <c r="M192" s="3">
        <v>2244.21</v>
      </c>
      <c r="N192" t="s">
        <v>84</v>
      </c>
      <c r="O192" t="s">
        <v>53</v>
      </c>
      <c r="P192" t="s">
        <v>53</v>
      </c>
      <c r="Q192" t="s">
        <v>53</v>
      </c>
      <c r="R192" t="s">
        <v>54</v>
      </c>
      <c r="S192" t="s">
        <v>54</v>
      </c>
      <c r="T192" t="s">
        <v>55</v>
      </c>
      <c r="U192">
        <v>9</v>
      </c>
      <c r="W192" t="s">
        <v>117</v>
      </c>
      <c r="X192" s="4">
        <v>0</v>
      </c>
      <c r="Y192" t="s">
        <v>62</v>
      </c>
      <c r="Z192" s="3"/>
      <c r="AE192" s="3"/>
      <c r="AK192" s="5"/>
    </row>
    <row r="193" spans="1:47" hidden="1" x14ac:dyDescent="0.25">
      <c r="A193" t="s">
        <v>63</v>
      </c>
      <c r="B193" s="1">
        <v>6115</v>
      </c>
      <c r="C193">
        <v>0</v>
      </c>
      <c r="D193" s="3">
        <v>0</v>
      </c>
      <c r="E193" s="2">
        <v>0</v>
      </c>
      <c r="F193">
        <v>0</v>
      </c>
      <c r="G193" s="3">
        <v>5000</v>
      </c>
      <c r="H193" s="3" t="s">
        <v>54</v>
      </c>
      <c r="I193" s="3" t="s">
        <v>59</v>
      </c>
      <c r="K193" s="3" t="s">
        <v>73</v>
      </c>
      <c r="L193" s="3" t="s">
        <v>73</v>
      </c>
      <c r="M193" s="3">
        <v>46064.595590277779</v>
      </c>
      <c r="Q193" t="s">
        <v>54</v>
      </c>
      <c r="R193">
        <v>0</v>
      </c>
      <c r="T193" t="s">
        <v>54</v>
      </c>
      <c r="U193" t="s">
        <v>54</v>
      </c>
      <c r="V193">
        <v>8826</v>
      </c>
      <c r="W193" t="s">
        <v>55</v>
      </c>
      <c r="X193" s="4"/>
      <c r="Z193" s="3"/>
      <c r="AE193" s="3"/>
      <c r="AK193" s="5"/>
    </row>
    <row r="194" spans="1:47" x14ac:dyDescent="0.25">
      <c r="A194" t="s">
        <v>96</v>
      </c>
      <c r="B194" s="1">
        <v>38550</v>
      </c>
      <c r="C194" t="s">
        <v>48</v>
      </c>
      <c r="D194" t="s">
        <v>49</v>
      </c>
      <c r="E194" s="2">
        <v>46064</v>
      </c>
      <c r="F194" t="s">
        <v>165</v>
      </c>
      <c r="G194" s="3" t="s">
        <v>69</v>
      </c>
      <c r="H194" s="3">
        <v>3498</v>
      </c>
      <c r="I194" s="3">
        <v>3498</v>
      </c>
      <c r="J194">
        <v>0</v>
      </c>
      <c r="K194" s="3">
        <v>3498</v>
      </c>
      <c r="L194" s="3">
        <v>547.20000000000005</v>
      </c>
      <c r="M194" s="3">
        <v>314.64</v>
      </c>
      <c r="N194" t="s">
        <v>52</v>
      </c>
      <c r="O194" t="s">
        <v>53</v>
      </c>
      <c r="P194" t="s">
        <v>53</v>
      </c>
      <c r="Q194" t="s">
        <v>53</v>
      </c>
      <c r="R194" t="s">
        <v>54</v>
      </c>
      <c r="S194" t="s">
        <v>54</v>
      </c>
      <c r="T194" t="s">
        <v>55</v>
      </c>
      <c r="U194">
        <v>126</v>
      </c>
      <c r="V194" t="s">
        <v>56</v>
      </c>
      <c r="W194" t="s">
        <v>152</v>
      </c>
      <c r="X194" s="4">
        <v>0</v>
      </c>
      <c r="Y194" t="s">
        <v>58</v>
      </c>
      <c r="Z194" s="3">
        <v>0</v>
      </c>
      <c r="AA194">
        <v>0</v>
      </c>
      <c r="AB194">
        <v>547.20000000000005</v>
      </c>
      <c r="AC194">
        <v>0</v>
      </c>
      <c r="AD194">
        <v>0</v>
      </c>
      <c r="AE194" s="3">
        <v>300</v>
      </c>
      <c r="AF194" t="s">
        <v>54</v>
      </c>
      <c r="AG194" t="s">
        <v>59</v>
      </c>
      <c r="AI194" t="s">
        <v>60</v>
      </c>
      <c r="AJ194" t="s">
        <v>60</v>
      </c>
      <c r="AK194" s="5">
        <v>46064.61445601852</v>
      </c>
      <c r="AO194" t="s">
        <v>54</v>
      </c>
      <c r="AP194">
        <v>0</v>
      </c>
      <c r="AR194" t="s">
        <v>54</v>
      </c>
      <c r="AS194" t="s">
        <v>54</v>
      </c>
      <c r="AT194">
        <v>322</v>
      </c>
      <c r="AU194" t="s">
        <v>55</v>
      </c>
    </row>
    <row r="195" spans="1:47" x14ac:dyDescent="0.25">
      <c r="A195" t="s">
        <v>96</v>
      </c>
      <c r="B195" s="1">
        <v>38551</v>
      </c>
      <c r="C195" t="s">
        <v>48</v>
      </c>
      <c r="D195" t="s">
        <v>49</v>
      </c>
      <c r="E195" s="2">
        <v>46064</v>
      </c>
      <c r="F195" t="s">
        <v>204</v>
      </c>
      <c r="G195" t="s">
        <v>69</v>
      </c>
      <c r="H195" s="3">
        <v>954</v>
      </c>
      <c r="I195" s="3">
        <v>954</v>
      </c>
      <c r="J195">
        <v>0</v>
      </c>
      <c r="K195" s="3">
        <v>954</v>
      </c>
      <c r="L195" s="3">
        <v>103.2</v>
      </c>
      <c r="M195" s="3">
        <v>40.25</v>
      </c>
      <c r="N195" t="s">
        <v>52</v>
      </c>
      <c r="O195" t="s">
        <v>54</v>
      </c>
      <c r="P195" t="s">
        <v>53</v>
      </c>
      <c r="Q195" t="s">
        <v>53</v>
      </c>
      <c r="R195" t="s">
        <v>54</v>
      </c>
      <c r="S195" t="s">
        <v>54</v>
      </c>
      <c r="T195" t="s">
        <v>55</v>
      </c>
      <c r="U195">
        <v>126</v>
      </c>
      <c r="V195" t="s">
        <v>56</v>
      </c>
      <c r="W195" t="s">
        <v>95</v>
      </c>
      <c r="X195" s="4">
        <v>0</v>
      </c>
      <c r="Z195" s="3">
        <v>103.2</v>
      </c>
      <c r="AA195">
        <v>0</v>
      </c>
      <c r="AB195">
        <v>0</v>
      </c>
      <c r="AC195">
        <v>0</v>
      </c>
      <c r="AD195">
        <v>0</v>
      </c>
      <c r="AE195" s="3">
        <v>300</v>
      </c>
      <c r="AF195" t="s">
        <v>54</v>
      </c>
      <c r="AG195" t="s">
        <v>59</v>
      </c>
      <c r="AI195" t="s">
        <v>60</v>
      </c>
      <c r="AK195" s="5"/>
      <c r="AO195" t="s">
        <v>54</v>
      </c>
      <c r="AP195">
        <v>0</v>
      </c>
      <c r="AR195" t="s">
        <v>54</v>
      </c>
      <c r="AS195" t="s">
        <v>54</v>
      </c>
      <c r="AT195">
        <v>6026</v>
      </c>
      <c r="AU195" t="s">
        <v>55</v>
      </c>
    </row>
    <row r="196" spans="1:47" x14ac:dyDescent="0.25">
      <c r="A196" t="s">
        <v>47</v>
      </c>
      <c r="B196" s="1">
        <v>38552</v>
      </c>
      <c r="C196" t="s">
        <v>48</v>
      </c>
      <c r="D196" t="s">
        <v>49</v>
      </c>
      <c r="E196" s="2">
        <v>46064</v>
      </c>
      <c r="F196" t="s">
        <v>179</v>
      </c>
      <c r="G196" s="3" t="s">
        <v>119</v>
      </c>
      <c r="H196" s="3">
        <v>7174</v>
      </c>
      <c r="I196" s="3">
        <v>7174</v>
      </c>
      <c r="J196">
        <v>0</v>
      </c>
      <c r="K196" s="3">
        <v>8250.1</v>
      </c>
      <c r="L196" s="3">
        <v>1356.8</v>
      </c>
      <c r="M196" s="3">
        <v>591.17999999999995</v>
      </c>
      <c r="N196" t="s">
        <v>52</v>
      </c>
      <c r="O196" t="s">
        <v>53</v>
      </c>
      <c r="P196" t="s">
        <v>53</v>
      </c>
      <c r="Q196" t="s">
        <v>53</v>
      </c>
      <c r="R196" t="s">
        <v>54</v>
      </c>
      <c r="S196" t="s">
        <v>54</v>
      </c>
      <c r="T196" t="s">
        <v>55</v>
      </c>
      <c r="U196">
        <v>126</v>
      </c>
      <c r="V196" t="s">
        <v>56</v>
      </c>
      <c r="W196" t="s">
        <v>72</v>
      </c>
      <c r="X196" s="4">
        <v>0</v>
      </c>
      <c r="Y196" t="s">
        <v>58</v>
      </c>
      <c r="Z196" s="3">
        <v>1356.8</v>
      </c>
      <c r="AA196">
        <v>0</v>
      </c>
      <c r="AB196" s="3">
        <v>0</v>
      </c>
      <c r="AC196">
        <v>0</v>
      </c>
      <c r="AD196">
        <v>0</v>
      </c>
      <c r="AE196" s="3">
        <v>1400</v>
      </c>
      <c r="AF196" t="s">
        <v>54</v>
      </c>
      <c r="AG196" t="s">
        <v>59</v>
      </c>
      <c r="AH196" t="s">
        <v>180</v>
      </c>
      <c r="AI196" t="s">
        <v>60</v>
      </c>
      <c r="AJ196" t="s">
        <v>60</v>
      </c>
      <c r="AK196" s="5">
        <v>46064.715694444443</v>
      </c>
      <c r="AO196" t="s">
        <v>54</v>
      </c>
      <c r="AP196">
        <v>0</v>
      </c>
      <c r="AR196" t="s">
        <v>54</v>
      </c>
      <c r="AS196" t="s">
        <v>54</v>
      </c>
      <c r="AT196">
        <v>6910</v>
      </c>
      <c r="AU196" t="s">
        <v>55</v>
      </c>
    </row>
    <row r="197" spans="1:47" x14ac:dyDescent="0.25">
      <c r="A197" t="s">
        <v>96</v>
      </c>
      <c r="B197" s="1">
        <v>38553</v>
      </c>
      <c r="C197" t="s">
        <v>48</v>
      </c>
      <c r="D197" t="s">
        <v>49</v>
      </c>
      <c r="E197" s="2">
        <v>46064</v>
      </c>
      <c r="F197" t="s">
        <v>220</v>
      </c>
      <c r="G197" s="3" t="s">
        <v>172</v>
      </c>
      <c r="H197" s="3">
        <v>2900</v>
      </c>
      <c r="I197" s="3">
        <v>2900</v>
      </c>
      <c r="J197">
        <v>0</v>
      </c>
      <c r="K197" s="3">
        <v>2900</v>
      </c>
      <c r="L197">
        <v>584</v>
      </c>
      <c r="M197" s="3">
        <v>189.8</v>
      </c>
      <c r="N197" t="s">
        <v>52</v>
      </c>
      <c r="O197" t="s">
        <v>53</v>
      </c>
      <c r="P197" t="s">
        <v>53</v>
      </c>
      <c r="Q197" t="s">
        <v>53</v>
      </c>
      <c r="R197" t="s">
        <v>54</v>
      </c>
      <c r="S197" t="s">
        <v>54</v>
      </c>
      <c r="T197" t="s">
        <v>55</v>
      </c>
      <c r="U197">
        <v>126</v>
      </c>
      <c r="W197" t="s">
        <v>95</v>
      </c>
      <c r="X197" s="4">
        <v>0</v>
      </c>
      <c r="Y197" t="s">
        <v>62</v>
      </c>
      <c r="AE197" s="3"/>
      <c r="AK197" s="5"/>
    </row>
    <row r="198" spans="1:47" hidden="1" x14ac:dyDescent="0.25">
      <c r="A198" t="s">
        <v>63</v>
      </c>
      <c r="B198" s="1">
        <v>584</v>
      </c>
      <c r="C198">
        <v>0</v>
      </c>
      <c r="D198">
        <v>0</v>
      </c>
      <c r="E198" s="2">
        <v>0</v>
      </c>
      <c r="F198">
        <v>0</v>
      </c>
      <c r="G198" s="3">
        <v>2000</v>
      </c>
      <c r="H198" s="3" t="s">
        <v>54</v>
      </c>
      <c r="I198" s="3" t="s">
        <v>59</v>
      </c>
      <c r="K198" s="3" t="s">
        <v>60</v>
      </c>
      <c r="L198" s="3" t="s">
        <v>60</v>
      </c>
      <c r="M198" s="3">
        <v>46065.756863425922</v>
      </c>
      <c r="Q198" t="s">
        <v>54</v>
      </c>
      <c r="R198">
        <v>0</v>
      </c>
      <c r="T198" t="s">
        <v>54</v>
      </c>
      <c r="U198" t="s">
        <v>54</v>
      </c>
      <c r="V198">
        <v>8730</v>
      </c>
      <c r="W198" t="s">
        <v>55</v>
      </c>
      <c r="X198" s="4"/>
      <c r="Z198" s="3"/>
      <c r="AD198" s="3"/>
      <c r="AE198" s="3"/>
      <c r="AK198" s="5"/>
    </row>
    <row r="199" spans="1:47" x14ac:dyDescent="0.25">
      <c r="A199" t="s">
        <v>47</v>
      </c>
      <c r="B199" s="1">
        <v>38554</v>
      </c>
      <c r="C199" t="s">
        <v>48</v>
      </c>
      <c r="D199" t="s">
        <v>49</v>
      </c>
      <c r="E199" s="2">
        <v>46065</v>
      </c>
      <c r="F199" t="s">
        <v>126</v>
      </c>
      <c r="G199" t="s">
        <v>89</v>
      </c>
      <c r="H199" s="3">
        <v>6887</v>
      </c>
      <c r="I199" s="3">
        <v>6887</v>
      </c>
      <c r="J199">
        <v>0</v>
      </c>
      <c r="K199" s="3">
        <v>7920.05</v>
      </c>
      <c r="L199" s="3">
        <v>763.9</v>
      </c>
      <c r="M199" s="3">
        <v>487.37</v>
      </c>
      <c r="N199" t="s">
        <v>84</v>
      </c>
      <c r="O199" t="s">
        <v>53</v>
      </c>
      <c r="P199" t="s">
        <v>53</v>
      </c>
      <c r="Q199" t="s">
        <v>53</v>
      </c>
      <c r="R199" t="s">
        <v>54</v>
      </c>
      <c r="S199" t="s">
        <v>54</v>
      </c>
      <c r="T199" t="s">
        <v>55</v>
      </c>
      <c r="U199">
        <v>9</v>
      </c>
      <c r="V199" t="s">
        <v>71</v>
      </c>
      <c r="W199" t="s">
        <v>95</v>
      </c>
      <c r="X199" s="4">
        <v>0</v>
      </c>
      <c r="Y199" t="s">
        <v>58</v>
      </c>
      <c r="Z199" s="3">
        <v>0</v>
      </c>
      <c r="AA199">
        <v>0</v>
      </c>
      <c r="AB199">
        <v>763.9</v>
      </c>
      <c r="AC199">
        <v>0</v>
      </c>
      <c r="AD199">
        <v>0</v>
      </c>
      <c r="AE199" s="3">
        <v>800</v>
      </c>
      <c r="AF199" t="s">
        <v>54</v>
      </c>
      <c r="AG199" t="s">
        <v>59</v>
      </c>
      <c r="AI199" t="s">
        <v>221</v>
      </c>
      <c r="AJ199" t="s">
        <v>92</v>
      </c>
      <c r="AK199" s="5">
        <v>46065.630474537036</v>
      </c>
      <c r="AO199" t="s">
        <v>54</v>
      </c>
      <c r="AP199">
        <v>0</v>
      </c>
      <c r="AR199" t="s">
        <v>54</v>
      </c>
      <c r="AS199" t="s">
        <v>54</v>
      </c>
      <c r="AT199">
        <v>3204</v>
      </c>
      <c r="AU199" t="s">
        <v>55</v>
      </c>
    </row>
    <row r="200" spans="1:47" x14ac:dyDescent="0.25">
      <c r="A200" t="s">
        <v>136</v>
      </c>
      <c r="B200" s="1">
        <v>38555</v>
      </c>
      <c r="C200" t="s">
        <v>48</v>
      </c>
      <c r="D200" t="s">
        <v>49</v>
      </c>
      <c r="E200" s="2">
        <v>46065</v>
      </c>
      <c r="F200" t="s">
        <v>222</v>
      </c>
      <c r="G200" t="s">
        <v>223</v>
      </c>
      <c r="H200" s="3">
        <v>25800</v>
      </c>
      <c r="I200" s="3">
        <v>25800</v>
      </c>
      <c r="J200">
        <v>0</v>
      </c>
      <c r="K200" s="3">
        <v>25800</v>
      </c>
      <c r="L200" s="3">
        <v>6175</v>
      </c>
      <c r="M200" s="3">
        <v>1790.75</v>
      </c>
      <c r="N200" t="s">
        <v>77</v>
      </c>
      <c r="O200" t="s">
        <v>53</v>
      </c>
      <c r="P200" t="s">
        <v>53</v>
      </c>
      <c r="Q200" t="s">
        <v>53</v>
      </c>
      <c r="R200" t="s">
        <v>54</v>
      </c>
      <c r="S200" t="s">
        <v>54</v>
      </c>
      <c r="T200" t="s">
        <v>55</v>
      </c>
      <c r="U200">
        <v>83</v>
      </c>
      <c r="W200" t="s">
        <v>114</v>
      </c>
      <c r="X200" s="4">
        <v>0</v>
      </c>
      <c r="Y200" t="s">
        <v>62</v>
      </c>
      <c r="AB200" s="3"/>
      <c r="AK200" s="5"/>
    </row>
    <row r="201" spans="1:47" hidden="1" x14ac:dyDescent="0.25">
      <c r="A201" t="s">
        <v>63</v>
      </c>
      <c r="B201" s="1">
        <v>6175</v>
      </c>
      <c r="C201">
        <v>0</v>
      </c>
      <c r="D201">
        <v>0</v>
      </c>
      <c r="E201" s="2">
        <v>0</v>
      </c>
      <c r="F201">
        <v>0</v>
      </c>
      <c r="G201" s="3">
        <v>15000</v>
      </c>
      <c r="H201" s="3" t="s">
        <v>54</v>
      </c>
      <c r="I201" s="3" t="s">
        <v>59</v>
      </c>
      <c r="K201" s="3" t="s">
        <v>80</v>
      </c>
      <c r="L201" s="3" t="s">
        <v>92</v>
      </c>
      <c r="M201" s="3">
        <v>46065.630567129629</v>
      </c>
      <c r="Q201" t="s">
        <v>54</v>
      </c>
      <c r="R201">
        <v>0</v>
      </c>
      <c r="T201" t="s">
        <v>54</v>
      </c>
      <c r="U201" t="s">
        <v>54</v>
      </c>
      <c r="V201">
        <v>4212</v>
      </c>
      <c r="W201" t="s">
        <v>55</v>
      </c>
      <c r="X201" s="4"/>
      <c r="AB201" s="3"/>
      <c r="AK201" s="5"/>
    </row>
    <row r="202" spans="1:47" x14ac:dyDescent="0.25">
      <c r="A202" t="s">
        <v>96</v>
      </c>
      <c r="B202" s="1">
        <v>38556</v>
      </c>
      <c r="C202" t="s">
        <v>48</v>
      </c>
      <c r="D202" t="s">
        <v>49</v>
      </c>
      <c r="E202" s="2">
        <v>46065</v>
      </c>
      <c r="F202" t="s">
        <v>224</v>
      </c>
      <c r="G202" s="3" t="s">
        <v>69</v>
      </c>
      <c r="H202" s="3">
        <v>18300.5</v>
      </c>
      <c r="I202" s="3">
        <v>18300.5</v>
      </c>
      <c r="J202">
        <v>0</v>
      </c>
      <c r="K202" s="3">
        <v>18300.5</v>
      </c>
      <c r="L202" s="3">
        <v>4223.25</v>
      </c>
      <c r="M202" s="3">
        <v>1646.07</v>
      </c>
      <c r="N202" t="s">
        <v>77</v>
      </c>
      <c r="O202" t="s">
        <v>53</v>
      </c>
      <c r="P202" t="s">
        <v>53</v>
      </c>
      <c r="Q202" t="s">
        <v>53</v>
      </c>
      <c r="R202" t="s">
        <v>54</v>
      </c>
      <c r="S202" t="s">
        <v>54</v>
      </c>
      <c r="T202" t="s">
        <v>55</v>
      </c>
      <c r="U202">
        <v>83</v>
      </c>
      <c r="V202" t="s">
        <v>225</v>
      </c>
      <c r="W202" t="s">
        <v>85</v>
      </c>
      <c r="X202" s="4">
        <v>0</v>
      </c>
      <c r="Y202" t="s">
        <v>62</v>
      </c>
      <c r="AE202" s="3"/>
      <c r="AK202" s="5"/>
    </row>
    <row r="203" spans="1:47" hidden="1" x14ac:dyDescent="0.25">
      <c r="A203" t="s">
        <v>63</v>
      </c>
      <c r="B203" s="1">
        <v>2337</v>
      </c>
      <c r="C203">
        <v>0</v>
      </c>
      <c r="D203">
        <v>0</v>
      </c>
      <c r="E203" s="2">
        <v>0</v>
      </c>
      <c r="F203" s="3">
        <v>1886.25</v>
      </c>
      <c r="G203" s="3">
        <v>7450</v>
      </c>
      <c r="H203" s="3" t="s">
        <v>54</v>
      </c>
      <c r="I203" s="3" t="s">
        <v>59</v>
      </c>
      <c r="K203" s="3" t="s">
        <v>80</v>
      </c>
      <c r="L203" t="s">
        <v>92</v>
      </c>
      <c r="M203" s="3">
        <v>46065.630694444444</v>
      </c>
      <c r="Q203" t="s">
        <v>54</v>
      </c>
      <c r="R203">
        <v>0</v>
      </c>
      <c r="T203" t="s">
        <v>54</v>
      </c>
      <c r="U203" t="s">
        <v>54</v>
      </c>
      <c r="V203">
        <v>4014</v>
      </c>
      <c r="W203" t="s">
        <v>55</v>
      </c>
      <c r="X203" s="4"/>
      <c r="AK203" s="5"/>
    </row>
    <row r="204" spans="1:47" x14ac:dyDescent="0.25">
      <c r="A204" t="s">
        <v>96</v>
      </c>
      <c r="B204" s="1">
        <v>38557</v>
      </c>
      <c r="C204" t="s">
        <v>48</v>
      </c>
      <c r="D204" t="s">
        <v>49</v>
      </c>
      <c r="E204" s="2">
        <v>46065</v>
      </c>
      <c r="F204" t="s">
        <v>224</v>
      </c>
      <c r="G204" s="3" t="s">
        <v>69</v>
      </c>
      <c r="H204" s="3">
        <v>18300.5</v>
      </c>
      <c r="I204" s="3">
        <v>18300.5</v>
      </c>
      <c r="J204">
        <v>0</v>
      </c>
      <c r="K204" s="3">
        <v>18300.5</v>
      </c>
      <c r="L204" s="3">
        <v>4223.25</v>
      </c>
      <c r="M204" s="3">
        <v>1646.07</v>
      </c>
      <c r="N204" t="s">
        <v>77</v>
      </c>
      <c r="O204" t="s">
        <v>53</v>
      </c>
      <c r="P204" t="s">
        <v>53</v>
      </c>
      <c r="Q204" t="s">
        <v>53</v>
      </c>
      <c r="R204" t="s">
        <v>54</v>
      </c>
      <c r="S204" t="s">
        <v>54</v>
      </c>
      <c r="T204" t="s">
        <v>55</v>
      </c>
      <c r="U204">
        <v>83</v>
      </c>
      <c r="V204" t="s">
        <v>225</v>
      </c>
      <c r="W204" t="s">
        <v>85</v>
      </c>
      <c r="X204" s="4">
        <v>0</v>
      </c>
      <c r="Y204" t="s">
        <v>62</v>
      </c>
      <c r="AK204" s="5"/>
    </row>
    <row r="205" spans="1:47" hidden="1" x14ac:dyDescent="0.25">
      <c r="A205" t="s">
        <v>63</v>
      </c>
      <c r="B205" s="1">
        <v>2337</v>
      </c>
      <c r="C205">
        <v>0</v>
      </c>
      <c r="D205">
        <v>0</v>
      </c>
      <c r="E205" s="2">
        <v>0</v>
      </c>
      <c r="F205" s="3">
        <v>1886.25</v>
      </c>
      <c r="G205" s="3">
        <v>7450</v>
      </c>
      <c r="H205" s="3" t="s">
        <v>54</v>
      </c>
      <c r="I205" s="3" t="s">
        <v>59</v>
      </c>
      <c r="K205" s="3" t="s">
        <v>80</v>
      </c>
      <c r="L205" s="3" t="s">
        <v>92</v>
      </c>
      <c r="M205" s="3">
        <v>46065.630914351852</v>
      </c>
      <c r="Q205" t="s">
        <v>54</v>
      </c>
      <c r="R205">
        <v>0</v>
      </c>
      <c r="T205" t="s">
        <v>54</v>
      </c>
      <c r="U205" t="s">
        <v>54</v>
      </c>
      <c r="V205">
        <v>4014</v>
      </c>
      <c r="W205" t="s">
        <v>55</v>
      </c>
      <c r="X205" s="4"/>
      <c r="AB205" s="3"/>
      <c r="AD205" s="3"/>
      <c r="AE205" s="3"/>
      <c r="AK205" s="5"/>
    </row>
    <row r="206" spans="1:47" x14ac:dyDescent="0.25">
      <c r="A206" t="s">
        <v>47</v>
      </c>
      <c r="B206" s="1">
        <v>38559</v>
      </c>
      <c r="C206" t="s">
        <v>48</v>
      </c>
      <c r="D206" t="s">
        <v>49</v>
      </c>
      <c r="E206" s="2">
        <v>46066</v>
      </c>
      <c r="F206" s="3" t="s">
        <v>147</v>
      </c>
      <c r="G206" s="3" t="s">
        <v>89</v>
      </c>
      <c r="H206" s="3">
        <v>33350</v>
      </c>
      <c r="I206" s="3">
        <v>33350</v>
      </c>
      <c r="J206">
        <v>0</v>
      </c>
      <c r="K206" s="3">
        <v>38352.5</v>
      </c>
      <c r="L206" s="3">
        <v>5077.5</v>
      </c>
      <c r="M206" s="3">
        <v>3239.45</v>
      </c>
      <c r="N206" t="s">
        <v>52</v>
      </c>
      <c r="O206" t="s">
        <v>53</v>
      </c>
      <c r="P206" t="s">
        <v>53</v>
      </c>
      <c r="Q206" t="s">
        <v>53</v>
      </c>
      <c r="R206" t="s">
        <v>54</v>
      </c>
      <c r="S206" t="s">
        <v>54</v>
      </c>
      <c r="T206" t="s">
        <v>55</v>
      </c>
      <c r="U206">
        <v>126</v>
      </c>
      <c r="V206" t="s">
        <v>56</v>
      </c>
      <c r="W206" t="s">
        <v>95</v>
      </c>
      <c r="X206" s="4">
        <v>0</v>
      </c>
      <c r="Y206" t="s">
        <v>62</v>
      </c>
    </row>
    <row r="207" spans="1:47" hidden="1" x14ac:dyDescent="0.25">
      <c r="A207" t="s">
        <v>63</v>
      </c>
      <c r="B207" s="1">
        <v>0</v>
      </c>
      <c r="C207">
        <v>0</v>
      </c>
      <c r="D207" s="3">
        <v>5077.5</v>
      </c>
      <c r="E207" s="2">
        <v>0</v>
      </c>
      <c r="F207">
        <v>0</v>
      </c>
      <c r="G207" s="3">
        <v>2500</v>
      </c>
      <c r="H207" s="3" t="s">
        <v>54</v>
      </c>
      <c r="I207" s="3" t="s">
        <v>59</v>
      </c>
      <c r="J207" t="s">
        <v>148</v>
      </c>
      <c r="K207" s="3" t="s">
        <v>60</v>
      </c>
      <c r="L207" s="3" t="s">
        <v>60</v>
      </c>
      <c r="M207" s="3">
        <v>46066.471296296295</v>
      </c>
      <c r="Q207" t="s">
        <v>54</v>
      </c>
      <c r="R207">
        <v>0</v>
      </c>
      <c r="T207" t="s">
        <v>54</v>
      </c>
      <c r="U207" t="s">
        <v>54</v>
      </c>
      <c r="V207">
        <v>8478</v>
      </c>
      <c r="W207" t="s">
        <v>55</v>
      </c>
      <c r="X207" s="4"/>
      <c r="AE207" s="3"/>
      <c r="AK207" s="5"/>
    </row>
    <row r="208" spans="1:47" x14ac:dyDescent="0.25">
      <c r="A208" t="s">
        <v>47</v>
      </c>
      <c r="B208" s="1">
        <v>38560</v>
      </c>
      <c r="C208" t="s">
        <v>48</v>
      </c>
      <c r="D208" t="s">
        <v>49</v>
      </c>
      <c r="E208" s="2">
        <v>46066</v>
      </c>
      <c r="F208" s="3" t="s">
        <v>147</v>
      </c>
      <c r="G208" s="3" t="s">
        <v>89</v>
      </c>
      <c r="H208" s="3">
        <v>33350</v>
      </c>
      <c r="I208" s="3">
        <v>33350</v>
      </c>
      <c r="J208">
        <v>0</v>
      </c>
      <c r="K208" s="3">
        <v>38352.5</v>
      </c>
      <c r="L208" s="3">
        <v>5077.5</v>
      </c>
      <c r="M208" s="3">
        <v>3239.45</v>
      </c>
      <c r="N208" t="s">
        <v>52</v>
      </c>
      <c r="O208" t="s">
        <v>53</v>
      </c>
      <c r="P208" t="s">
        <v>53</v>
      </c>
      <c r="Q208" t="s">
        <v>53</v>
      </c>
      <c r="R208" t="s">
        <v>54</v>
      </c>
      <c r="S208" t="s">
        <v>54</v>
      </c>
      <c r="T208" t="s">
        <v>55</v>
      </c>
      <c r="U208">
        <v>126</v>
      </c>
      <c r="V208" t="s">
        <v>56</v>
      </c>
      <c r="W208" t="s">
        <v>95</v>
      </c>
      <c r="X208" s="4">
        <v>0</v>
      </c>
      <c r="Y208" t="s">
        <v>62</v>
      </c>
      <c r="AB208" s="3"/>
      <c r="AE208" s="3"/>
      <c r="AK208" s="5"/>
    </row>
    <row r="209" spans="1:37" hidden="1" x14ac:dyDescent="0.25">
      <c r="A209" t="s">
        <v>63</v>
      </c>
      <c r="B209" s="1">
        <v>0</v>
      </c>
      <c r="C209">
        <v>0</v>
      </c>
      <c r="D209" s="3">
        <v>5077.5</v>
      </c>
      <c r="E209" s="2">
        <v>0</v>
      </c>
      <c r="F209">
        <v>0</v>
      </c>
      <c r="G209" s="3">
        <v>2500</v>
      </c>
      <c r="H209" s="3" t="s">
        <v>54</v>
      </c>
      <c r="I209" s="3" t="s">
        <v>59</v>
      </c>
      <c r="J209" t="s">
        <v>148</v>
      </c>
      <c r="K209" s="3" t="s">
        <v>60</v>
      </c>
      <c r="L209" s="3" t="s">
        <v>60</v>
      </c>
      <c r="M209" s="3">
        <v>46066.472291666665</v>
      </c>
      <c r="Q209" t="s">
        <v>54</v>
      </c>
      <c r="R209">
        <v>0</v>
      </c>
      <c r="T209" t="s">
        <v>54</v>
      </c>
      <c r="U209" t="s">
        <v>54</v>
      </c>
      <c r="V209">
        <v>8478</v>
      </c>
      <c r="W209" t="s">
        <v>55</v>
      </c>
      <c r="X209" s="4"/>
      <c r="Z209" s="3"/>
      <c r="AE209" s="3"/>
      <c r="AK209" s="5"/>
    </row>
    <row r="210" spans="1:37" x14ac:dyDescent="0.25">
      <c r="A210" t="s">
        <v>47</v>
      </c>
      <c r="B210" s="1">
        <v>38561</v>
      </c>
      <c r="C210" t="s">
        <v>48</v>
      </c>
      <c r="D210" s="3" t="s">
        <v>49</v>
      </c>
      <c r="E210" s="2">
        <v>46066</v>
      </c>
      <c r="F210" t="s">
        <v>147</v>
      </c>
      <c r="G210" s="3" t="s">
        <v>89</v>
      </c>
      <c r="H210" s="3">
        <v>33350</v>
      </c>
      <c r="I210" s="3">
        <v>33350</v>
      </c>
      <c r="J210">
        <v>0</v>
      </c>
      <c r="K210" s="3">
        <v>38352.5</v>
      </c>
      <c r="L210" s="3">
        <v>5077.5</v>
      </c>
      <c r="M210" s="3">
        <v>3239.45</v>
      </c>
      <c r="N210" t="s">
        <v>52</v>
      </c>
      <c r="O210" t="s">
        <v>53</v>
      </c>
      <c r="P210" t="s">
        <v>53</v>
      </c>
      <c r="Q210" t="s">
        <v>53</v>
      </c>
      <c r="R210" t="s">
        <v>54</v>
      </c>
      <c r="S210" t="s">
        <v>54</v>
      </c>
      <c r="T210" t="s">
        <v>55</v>
      </c>
      <c r="U210">
        <v>126</v>
      </c>
      <c r="V210" t="s">
        <v>56</v>
      </c>
      <c r="W210" t="s">
        <v>95</v>
      </c>
      <c r="X210" s="4">
        <v>0</v>
      </c>
      <c r="Y210" t="s">
        <v>62</v>
      </c>
      <c r="Z210" s="3"/>
      <c r="AB210" s="3"/>
      <c r="AE210" s="3"/>
      <c r="AK210" s="5"/>
    </row>
    <row r="211" spans="1:37" hidden="1" x14ac:dyDescent="0.25">
      <c r="A211" t="s">
        <v>63</v>
      </c>
      <c r="B211" s="1">
        <v>0</v>
      </c>
      <c r="C211">
        <v>0</v>
      </c>
      <c r="D211" s="3">
        <v>5077.5</v>
      </c>
      <c r="E211" s="2">
        <v>0</v>
      </c>
      <c r="F211">
        <v>0</v>
      </c>
      <c r="G211" s="3">
        <v>2500</v>
      </c>
      <c r="H211" s="3" t="s">
        <v>54</v>
      </c>
      <c r="I211" s="3" t="s">
        <v>59</v>
      </c>
      <c r="J211" t="s">
        <v>148</v>
      </c>
      <c r="K211" s="3" t="s">
        <v>60</v>
      </c>
      <c r="L211" s="3" t="s">
        <v>60</v>
      </c>
      <c r="M211" s="3">
        <v>46066.473506944443</v>
      </c>
      <c r="Q211" t="s">
        <v>54</v>
      </c>
      <c r="R211">
        <v>0</v>
      </c>
      <c r="T211" t="s">
        <v>54</v>
      </c>
      <c r="U211" t="s">
        <v>54</v>
      </c>
      <c r="V211">
        <v>8478</v>
      </c>
      <c r="W211" t="s">
        <v>55</v>
      </c>
      <c r="X211" s="4"/>
      <c r="Z211" s="3"/>
      <c r="AE211" s="3"/>
      <c r="AK211" s="5"/>
    </row>
    <row r="212" spans="1:37" x14ac:dyDescent="0.25">
      <c r="A212" t="s">
        <v>47</v>
      </c>
      <c r="B212" s="1">
        <v>38562</v>
      </c>
      <c r="C212" t="s">
        <v>48</v>
      </c>
      <c r="D212" t="s">
        <v>49</v>
      </c>
      <c r="E212" s="2">
        <v>46066</v>
      </c>
      <c r="F212" t="s">
        <v>147</v>
      </c>
      <c r="G212" t="s">
        <v>89</v>
      </c>
      <c r="H212" s="3">
        <v>33350</v>
      </c>
      <c r="I212" s="3">
        <v>33350</v>
      </c>
      <c r="J212">
        <v>0</v>
      </c>
      <c r="K212" s="3">
        <v>38352.5</v>
      </c>
      <c r="L212" s="3">
        <v>5077.5</v>
      </c>
      <c r="M212" s="3">
        <v>3239.45</v>
      </c>
      <c r="N212" t="s">
        <v>52</v>
      </c>
      <c r="O212" t="s">
        <v>53</v>
      </c>
      <c r="P212" t="s">
        <v>53</v>
      </c>
      <c r="Q212" t="s">
        <v>53</v>
      </c>
      <c r="R212" t="s">
        <v>54</v>
      </c>
      <c r="S212" t="s">
        <v>54</v>
      </c>
      <c r="T212" t="s">
        <v>55</v>
      </c>
      <c r="U212">
        <v>126</v>
      </c>
      <c r="V212" t="s">
        <v>56</v>
      </c>
      <c r="W212" t="s">
        <v>95</v>
      </c>
      <c r="X212" s="4">
        <v>0</v>
      </c>
      <c r="Y212" t="s">
        <v>62</v>
      </c>
      <c r="Z212" s="3"/>
      <c r="AE212" s="3"/>
      <c r="AK212" s="5"/>
    </row>
    <row r="213" spans="1:37" hidden="1" x14ac:dyDescent="0.25">
      <c r="A213" t="s">
        <v>63</v>
      </c>
      <c r="B213" s="1">
        <v>0</v>
      </c>
      <c r="C213">
        <v>0</v>
      </c>
      <c r="D213" s="3">
        <v>5077.5</v>
      </c>
      <c r="E213" s="2">
        <v>0</v>
      </c>
      <c r="F213">
        <v>0</v>
      </c>
      <c r="G213" s="3">
        <v>2500</v>
      </c>
      <c r="H213" s="3" t="s">
        <v>54</v>
      </c>
      <c r="I213" s="3" t="s">
        <v>59</v>
      </c>
      <c r="J213" t="s">
        <v>148</v>
      </c>
      <c r="K213" s="3" t="s">
        <v>60</v>
      </c>
      <c r="L213" s="3" t="s">
        <v>60</v>
      </c>
      <c r="M213" s="3">
        <v>46066.474687499998</v>
      </c>
      <c r="Q213" t="s">
        <v>54</v>
      </c>
      <c r="R213">
        <v>0</v>
      </c>
      <c r="T213" t="s">
        <v>54</v>
      </c>
      <c r="U213" t="s">
        <v>54</v>
      </c>
      <c r="V213">
        <v>8478</v>
      </c>
      <c r="W213" t="s">
        <v>55</v>
      </c>
      <c r="X213" s="4"/>
      <c r="Z213" s="3"/>
      <c r="AE213" s="3"/>
      <c r="AK213" s="5"/>
    </row>
    <row r="214" spans="1:37" x14ac:dyDescent="0.25">
      <c r="A214" t="s">
        <v>47</v>
      </c>
      <c r="B214" s="1">
        <v>38564</v>
      </c>
      <c r="C214" t="s">
        <v>48</v>
      </c>
      <c r="D214" t="s">
        <v>49</v>
      </c>
      <c r="E214" s="2">
        <v>46070</v>
      </c>
      <c r="F214" t="s">
        <v>93</v>
      </c>
      <c r="G214" t="s">
        <v>94</v>
      </c>
      <c r="H214" s="3">
        <v>1345.1</v>
      </c>
      <c r="I214" s="3">
        <v>1345.1</v>
      </c>
      <c r="J214">
        <v>0</v>
      </c>
      <c r="K214" s="3">
        <v>1546.87</v>
      </c>
      <c r="L214" s="3">
        <v>103.95</v>
      </c>
      <c r="M214" s="3">
        <v>77.75</v>
      </c>
      <c r="N214" t="s">
        <v>84</v>
      </c>
      <c r="O214" t="s">
        <v>53</v>
      </c>
      <c r="P214" t="s">
        <v>53</v>
      </c>
      <c r="Q214" t="s">
        <v>53</v>
      </c>
      <c r="R214" t="s">
        <v>54</v>
      </c>
      <c r="S214" t="s">
        <v>54</v>
      </c>
      <c r="T214" t="s">
        <v>55</v>
      </c>
      <c r="U214">
        <v>9</v>
      </c>
      <c r="V214" t="s">
        <v>71</v>
      </c>
      <c r="W214" t="s">
        <v>95</v>
      </c>
      <c r="X214" s="4">
        <v>0</v>
      </c>
      <c r="Y214" t="s">
        <v>62</v>
      </c>
      <c r="Z214" s="3"/>
      <c r="AE214" s="3"/>
      <c r="AK214" s="5"/>
    </row>
    <row r="215" spans="1:37" hidden="1" x14ac:dyDescent="0.25">
      <c r="A215" t="s">
        <v>63</v>
      </c>
      <c r="B215" s="3">
        <v>0</v>
      </c>
      <c r="C215">
        <v>0</v>
      </c>
      <c r="D215">
        <v>103.95</v>
      </c>
      <c r="E215" s="2">
        <v>0</v>
      </c>
      <c r="F215">
        <v>0</v>
      </c>
      <c r="G215" s="3">
        <v>50</v>
      </c>
      <c r="H215" s="3" t="s">
        <v>54</v>
      </c>
      <c r="I215" s="3" t="s">
        <v>59</v>
      </c>
      <c r="K215" s="3" t="s">
        <v>73</v>
      </c>
      <c r="L215" s="3" t="s">
        <v>73</v>
      </c>
      <c r="M215" s="3">
        <v>46070.327094907407</v>
      </c>
      <c r="Q215" t="s">
        <v>54</v>
      </c>
      <c r="R215">
        <v>0</v>
      </c>
      <c r="T215" t="s">
        <v>54</v>
      </c>
      <c r="U215" t="s">
        <v>54</v>
      </c>
      <c r="V215">
        <v>924</v>
      </c>
      <c r="W215" t="s">
        <v>55</v>
      </c>
      <c r="X215" s="4"/>
      <c r="AE215" s="3"/>
      <c r="AK215" s="5"/>
    </row>
    <row r="216" spans="1:37" x14ac:dyDescent="0.25">
      <c r="B216" s="1"/>
      <c r="C216" s="3"/>
      <c r="E216" s="2"/>
      <c r="G216" s="3"/>
      <c r="H216" s="3"/>
      <c r="I216" s="3"/>
      <c r="K216" s="3"/>
      <c r="L216" s="3"/>
      <c r="X216" s="4"/>
    </row>
    <row r="217" spans="1:37" x14ac:dyDescent="0.25">
      <c r="B217" s="3"/>
      <c r="E217" s="2"/>
      <c r="G217" s="3"/>
      <c r="H217" s="3"/>
      <c r="I217" s="3"/>
      <c r="K217" s="3"/>
      <c r="L217" s="3"/>
      <c r="X217" s="4"/>
      <c r="AA217" s="3"/>
      <c r="AE217" s="3"/>
      <c r="AK217" s="5"/>
    </row>
    <row r="218" spans="1:37" x14ac:dyDescent="0.25">
      <c r="B218" s="1"/>
      <c r="E218" s="2"/>
      <c r="H218" s="3"/>
      <c r="I218" s="3"/>
      <c r="K218" s="3"/>
      <c r="L218" s="3"/>
      <c r="X218" s="4"/>
      <c r="AD218" s="3"/>
      <c r="AE218" s="3"/>
      <c r="AK218" s="5"/>
    </row>
    <row r="219" spans="1:37" x14ac:dyDescent="0.25">
      <c r="B219" s="1"/>
      <c r="D219" s="3"/>
      <c r="E219" s="2"/>
      <c r="G219" s="3"/>
      <c r="X219" s="4"/>
    </row>
    <row r="220" spans="1:37" x14ac:dyDescent="0.25">
      <c r="B220" s="1"/>
      <c r="E220" s="2"/>
      <c r="H220" s="3"/>
      <c r="I220" s="3"/>
      <c r="K220" s="3"/>
      <c r="L220" s="3"/>
      <c r="X220" s="4"/>
      <c r="AB220" s="3"/>
      <c r="AE220" s="3"/>
      <c r="AK220" s="5"/>
    </row>
    <row r="221" spans="1:37" x14ac:dyDescent="0.25">
      <c r="B221" s="1"/>
      <c r="E221" s="2"/>
      <c r="F221" s="3"/>
      <c r="G221" s="3"/>
      <c r="H221" s="3"/>
      <c r="I221" s="3"/>
      <c r="K221" s="3"/>
      <c r="L221" s="3"/>
      <c r="X221" s="4"/>
      <c r="AB221" s="3"/>
      <c r="AE221" s="3"/>
      <c r="AK221" s="5"/>
    </row>
    <row r="222" spans="1:37" x14ac:dyDescent="0.25">
      <c r="B222" s="3"/>
      <c r="E222" s="2"/>
      <c r="G222" s="3"/>
      <c r="H222" s="3"/>
      <c r="I222" s="3"/>
      <c r="K222" s="3"/>
      <c r="L222" s="3"/>
      <c r="X222" s="4"/>
      <c r="AE222" s="3"/>
      <c r="AK222" s="5"/>
    </row>
    <row r="223" spans="1:37" x14ac:dyDescent="0.25">
      <c r="B223" s="1"/>
      <c r="D223" s="3"/>
      <c r="E223" s="2"/>
      <c r="G223" s="3"/>
      <c r="H223" s="3"/>
      <c r="I223" s="3"/>
      <c r="K223" s="3"/>
      <c r="X223" s="4"/>
    </row>
    <row r="224" spans="1:37" x14ac:dyDescent="0.25">
      <c r="B224" s="1"/>
      <c r="E224" s="2"/>
      <c r="G224" s="3"/>
      <c r="H224" s="3"/>
      <c r="I224" s="3"/>
      <c r="K224" s="3"/>
      <c r="L224" s="3"/>
      <c r="X224" s="4"/>
    </row>
    <row r="225" spans="2:37" x14ac:dyDescent="0.25">
      <c r="B225" s="1"/>
      <c r="E225" s="2"/>
      <c r="G225" s="3"/>
      <c r="H225" s="3"/>
      <c r="I225" s="3"/>
      <c r="K225" s="3"/>
      <c r="L225" s="3"/>
      <c r="X225" s="4"/>
      <c r="Z225" s="3"/>
      <c r="AE225" s="3"/>
      <c r="AK225" s="5"/>
    </row>
    <row r="226" spans="2:37" x14ac:dyDescent="0.25">
      <c r="B226" s="1"/>
      <c r="E226" s="2"/>
      <c r="F226" s="3"/>
      <c r="G226" s="3"/>
      <c r="H226" s="3"/>
      <c r="I226" s="3"/>
      <c r="K226" s="3"/>
      <c r="L226" s="3"/>
      <c r="X226" s="4"/>
      <c r="AB226" s="3"/>
      <c r="AE226" s="3"/>
      <c r="AK226" s="5"/>
    </row>
    <row r="227" spans="2:37" x14ac:dyDescent="0.25">
      <c r="B227" s="1"/>
      <c r="D227" s="3"/>
      <c r="E227" s="2"/>
      <c r="G227" s="3"/>
      <c r="H227" s="3"/>
      <c r="I227" s="3"/>
      <c r="K227" s="3"/>
      <c r="X227" s="4"/>
      <c r="AE227" s="3"/>
      <c r="AK227" s="5"/>
    </row>
    <row r="228" spans="2:37" x14ac:dyDescent="0.25">
      <c r="B228" s="1"/>
      <c r="E228" s="2"/>
      <c r="H228" s="3"/>
      <c r="I228" s="3"/>
      <c r="K228" s="3"/>
      <c r="L228" s="3"/>
      <c r="X228" s="4"/>
      <c r="AK228" s="5"/>
    </row>
    <row r="229" spans="2:37" x14ac:dyDescent="0.25">
      <c r="B229" s="1"/>
      <c r="E229" s="2"/>
      <c r="G229" s="3"/>
      <c r="H229" s="3"/>
      <c r="I229" s="3"/>
      <c r="K229" s="3"/>
      <c r="X229" s="4"/>
      <c r="AK229" s="5"/>
    </row>
    <row r="230" spans="2:37" x14ac:dyDescent="0.25">
      <c r="B230" s="1"/>
      <c r="E230" s="2"/>
      <c r="G230" s="3"/>
      <c r="H230" s="3"/>
      <c r="I230" s="3"/>
      <c r="K230" s="3"/>
      <c r="L230" s="3"/>
      <c r="X230" s="4"/>
      <c r="AK230" s="5"/>
    </row>
    <row r="231" spans="2:37" x14ac:dyDescent="0.25">
      <c r="B231" s="1"/>
      <c r="E231" s="2"/>
      <c r="F231" s="3"/>
      <c r="G231" s="3"/>
      <c r="H231" s="3"/>
      <c r="I231" s="3"/>
      <c r="K231" s="3"/>
      <c r="L231" s="3"/>
      <c r="X231" s="4"/>
      <c r="Z231" s="3"/>
      <c r="AB231" s="3"/>
      <c r="AE231" s="3"/>
      <c r="AK231" s="5"/>
    </row>
    <row r="232" spans="2:37" x14ac:dyDescent="0.25">
      <c r="B232" s="1"/>
      <c r="E232" s="2"/>
      <c r="H232" s="3"/>
      <c r="I232" s="3"/>
      <c r="K232" s="3"/>
      <c r="L232" s="3"/>
      <c r="X232" s="4"/>
      <c r="Z232" s="3"/>
      <c r="AB232" s="3"/>
      <c r="AE232" s="3"/>
      <c r="AK232" s="5"/>
    </row>
    <row r="233" spans="2:37" x14ac:dyDescent="0.25">
      <c r="B233" s="1"/>
      <c r="E233" s="2"/>
      <c r="H233" s="3"/>
      <c r="I233" s="3"/>
      <c r="K233" s="3"/>
      <c r="L233" s="3"/>
      <c r="X233" s="4"/>
      <c r="AE233" s="3"/>
      <c r="AK233" s="5"/>
    </row>
    <row r="234" spans="2:37" x14ac:dyDescent="0.25">
      <c r="B234" s="1"/>
      <c r="E234" s="2"/>
      <c r="F234" s="3"/>
      <c r="G234" s="3"/>
      <c r="H234" s="3"/>
      <c r="I234" s="3"/>
      <c r="K234" s="3"/>
      <c r="L234" s="3"/>
      <c r="X234" s="4"/>
      <c r="Z234" s="3"/>
      <c r="AE234" s="3"/>
      <c r="AK234" s="5"/>
    </row>
    <row r="235" spans="2:37" x14ac:dyDescent="0.25">
      <c r="B235" s="1"/>
      <c r="E235" s="2"/>
      <c r="H235" s="3"/>
      <c r="I235" s="3"/>
      <c r="K235" s="3"/>
      <c r="X235" s="4"/>
      <c r="AE235" s="3"/>
      <c r="AK235" s="5"/>
    </row>
    <row r="236" spans="2:37" x14ac:dyDescent="0.25">
      <c r="B236" s="1"/>
      <c r="E236" s="2"/>
      <c r="H236" s="3"/>
      <c r="I236" s="3"/>
      <c r="K236" s="3"/>
      <c r="X236" s="4"/>
      <c r="AE236" s="3"/>
      <c r="AK236" s="5"/>
    </row>
    <row r="237" spans="2:37" x14ac:dyDescent="0.25">
      <c r="B237" s="1"/>
      <c r="E237" s="2"/>
      <c r="H237" s="3"/>
      <c r="I237" s="3"/>
      <c r="K237" s="3"/>
      <c r="X237" s="4"/>
      <c r="AE237" s="3"/>
      <c r="AK237" s="5"/>
    </row>
    <row r="238" spans="2:37" x14ac:dyDescent="0.25">
      <c r="B238" s="1"/>
      <c r="E238" s="2"/>
      <c r="H238" s="3"/>
      <c r="I238" s="3"/>
      <c r="K238" s="3"/>
      <c r="L238" s="3"/>
      <c r="X238" s="4"/>
      <c r="AB238" s="3"/>
      <c r="AE238" s="3"/>
      <c r="AK238" s="5"/>
    </row>
    <row r="239" spans="2:37" x14ac:dyDescent="0.25">
      <c r="B239" s="1"/>
      <c r="E239" s="2"/>
      <c r="H239" s="3"/>
      <c r="I239" s="3"/>
      <c r="K239" s="3"/>
      <c r="L239" s="3"/>
      <c r="X239" s="4"/>
      <c r="Z239" s="3"/>
      <c r="AB239" s="3"/>
      <c r="AE239" s="3"/>
      <c r="AK239" s="5"/>
    </row>
    <row r="240" spans="2:37" x14ac:dyDescent="0.25">
      <c r="B240" s="1"/>
      <c r="E240" s="2"/>
      <c r="H240" s="3"/>
      <c r="I240" s="3"/>
      <c r="K240" s="3"/>
      <c r="L240" s="3"/>
      <c r="X240" s="4"/>
      <c r="Z240" s="3"/>
      <c r="AE240" s="3"/>
      <c r="AK240" s="5"/>
    </row>
    <row r="241" spans="2:37" x14ac:dyDescent="0.25">
      <c r="B241" s="1"/>
      <c r="E241" s="2"/>
      <c r="H241" s="3"/>
      <c r="I241" s="3"/>
      <c r="K241" s="3"/>
      <c r="L241" s="3"/>
      <c r="X241" s="4"/>
      <c r="Z241" s="3"/>
      <c r="AB241" s="3"/>
      <c r="AE241" s="3"/>
      <c r="AK241" s="5"/>
    </row>
    <row r="242" spans="2:37" x14ac:dyDescent="0.25">
      <c r="B242" s="1"/>
      <c r="E242" s="2"/>
      <c r="H242" s="3"/>
      <c r="I242" s="3"/>
      <c r="K242" s="3"/>
      <c r="L242" s="3"/>
      <c r="X242" s="4"/>
      <c r="Z242" s="3"/>
      <c r="AE242" s="3"/>
      <c r="AK242" s="5"/>
    </row>
    <row r="243" spans="2:37" x14ac:dyDescent="0.25">
      <c r="B243" s="1"/>
      <c r="E243" s="2"/>
      <c r="H243" s="3"/>
      <c r="I243" s="3"/>
      <c r="K243" s="3"/>
      <c r="L243" s="3"/>
      <c r="X243" s="4"/>
      <c r="Z243" s="3"/>
      <c r="AD243" s="3"/>
      <c r="AE243" s="3"/>
      <c r="AK243" s="5"/>
    </row>
    <row r="244" spans="2:37" x14ac:dyDescent="0.25">
      <c r="B244" s="1"/>
      <c r="E244" s="2"/>
      <c r="H244" s="3"/>
      <c r="I244" s="3"/>
      <c r="K244" s="3"/>
      <c r="L244" s="3"/>
      <c r="X244" s="4"/>
      <c r="AE244" s="3"/>
      <c r="AK244" s="5"/>
    </row>
    <row r="245" spans="2:37" x14ac:dyDescent="0.25">
      <c r="B245" s="1"/>
      <c r="D245" s="3"/>
      <c r="E245" s="2"/>
      <c r="G245" s="3"/>
      <c r="H245" s="3"/>
      <c r="I245" s="3"/>
      <c r="K245" s="3"/>
      <c r="L245" s="3"/>
      <c r="X245" s="4"/>
      <c r="Z245" s="3"/>
      <c r="AE245" s="3"/>
      <c r="AK245" s="5"/>
    </row>
    <row r="246" spans="2:37" x14ac:dyDescent="0.25">
      <c r="B246" s="1"/>
      <c r="E246" s="2"/>
      <c r="H246" s="3"/>
      <c r="I246" s="3"/>
      <c r="K246" s="3"/>
      <c r="X246" s="4"/>
      <c r="AK246" s="5"/>
    </row>
    <row r="247" spans="2:37" x14ac:dyDescent="0.25">
      <c r="B247" s="1"/>
      <c r="E247" s="2"/>
      <c r="G247" s="3"/>
      <c r="H247" s="3"/>
      <c r="I247" s="3"/>
      <c r="K247" s="3"/>
      <c r="L247" s="3"/>
      <c r="X247" s="4"/>
      <c r="AE247" s="3"/>
      <c r="AK247" s="5"/>
    </row>
    <row r="248" spans="2:37" x14ac:dyDescent="0.25">
      <c r="B248" s="1"/>
      <c r="E248" s="2"/>
      <c r="H248" s="3"/>
      <c r="I248" s="3"/>
      <c r="K248" s="3"/>
      <c r="X248" s="4"/>
      <c r="AK248" s="5"/>
    </row>
    <row r="249" spans="2:37" x14ac:dyDescent="0.25">
      <c r="B249" s="1"/>
      <c r="E249" s="2"/>
      <c r="H249" s="3"/>
      <c r="I249" s="3"/>
      <c r="K249" s="3"/>
      <c r="L249" s="3"/>
      <c r="X249" s="4"/>
      <c r="Z249" s="3"/>
      <c r="AB249" s="3"/>
      <c r="AE249" s="3"/>
      <c r="AK249" s="5"/>
    </row>
    <row r="250" spans="2:37" x14ac:dyDescent="0.25">
      <c r="B250" s="1"/>
      <c r="E250" s="2"/>
      <c r="H250" s="3"/>
      <c r="I250" s="3"/>
      <c r="K250" s="3"/>
      <c r="L250" s="3"/>
      <c r="X250" s="4"/>
      <c r="AK250" s="5"/>
    </row>
    <row r="251" spans="2:37" x14ac:dyDescent="0.25">
      <c r="B251" s="1"/>
      <c r="E251" s="2"/>
      <c r="G251" s="3"/>
      <c r="X251" s="4"/>
      <c r="AK251" s="5"/>
    </row>
    <row r="252" spans="2:37" x14ac:dyDescent="0.25">
      <c r="B252" s="1"/>
      <c r="E252" s="2"/>
      <c r="H252" s="3"/>
      <c r="I252" s="3"/>
      <c r="K252" s="3"/>
      <c r="L252" s="3"/>
      <c r="X252" s="4"/>
      <c r="Z252" s="3"/>
      <c r="AB252" s="3"/>
      <c r="AE252" s="3"/>
      <c r="AK252" s="5"/>
    </row>
    <row r="253" spans="2:37" x14ac:dyDescent="0.25">
      <c r="B253" s="1"/>
      <c r="E253" s="2"/>
      <c r="H253" s="3"/>
      <c r="I253" s="3"/>
      <c r="K253" s="3"/>
      <c r="L253" s="3"/>
      <c r="X253" s="4"/>
      <c r="Z253" s="3"/>
      <c r="AE253" s="3"/>
      <c r="AK253" s="5"/>
    </row>
    <row r="254" spans="2:37" x14ac:dyDescent="0.25">
      <c r="B254" s="1"/>
      <c r="E254" s="2"/>
      <c r="G254" s="3"/>
      <c r="H254" s="3"/>
      <c r="I254" s="3"/>
      <c r="K254" s="3"/>
      <c r="L254" s="3"/>
      <c r="X254" s="4"/>
      <c r="Z254" s="3"/>
      <c r="AE254" s="3"/>
      <c r="AK254" s="5"/>
    </row>
    <row r="255" spans="2:37" x14ac:dyDescent="0.25">
      <c r="B255" s="1"/>
      <c r="E255" s="2"/>
      <c r="H255" s="3"/>
      <c r="I255" s="3"/>
      <c r="K255" s="3"/>
      <c r="L255" s="3"/>
      <c r="X255" s="4"/>
      <c r="Z255" s="3"/>
      <c r="AB255" s="3"/>
      <c r="AD255" s="3"/>
      <c r="AE255" s="3"/>
      <c r="AK255" s="5"/>
    </row>
    <row r="256" spans="2:37" x14ac:dyDescent="0.25">
      <c r="B256" s="1"/>
      <c r="E256" s="2"/>
      <c r="H256" s="3"/>
      <c r="I256" s="3"/>
      <c r="K256" s="3"/>
      <c r="L256" s="3"/>
      <c r="X256" s="4"/>
      <c r="Z256" s="3"/>
      <c r="AB256" s="3"/>
      <c r="AE256" s="3"/>
      <c r="AK256" s="5"/>
    </row>
    <row r="257" spans="2:37" x14ac:dyDescent="0.25">
      <c r="B257" s="1"/>
      <c r="E257" s="2"/>
      <c r="H257" s="3"/>
      <c r="I257" s="3"/>
      <c r="K257" s="3"/>
      <c r="L257" s="3"/>
      <c r="X257" s="4"/>
      <c r="Z257" s="3"/>
      <c r="AE257" s="3"/>
      <c r="AK257" s="5"/>
    </row>
    <row r="258" spans="2:37" x14ac:dyDescent="0.25">
      <c r="B258" s="1"/>
      <c r="E258" s="2"/>
      <c r="H258" s="3"/>
      <c r="I258" s="3"/>
      <c r="K258" s="3"/>
      <c r="L258" s="3"/>
      <c r="X258" s="4"/>
      <c r="Z258" s="3"/>
      <c r="AE258" s="3"/>
      <c r="AK258" s="5"/>
    </row>
    <row r="259" spans="2:37" x14ac:dyDescent="0.25">
      <c r="B259" s="1"/>
      <c r="E259" s="2"/>
      <c r="G259" s="3"/>
      <c r="H259" s="3"/>
      <c r="I259" s="3"/>
      <c r="K259" s="3"/>
      <c r="L259" s="3"/>
      <c r="X259" s="4"/>
      <c r="Z259" s="3"/>
      <c r="AE259" s="3"/>
      <c r="AK259" s="5"/>
    </row>
    <row r="260" spans="2:37" x14ac:dyDescent="0.25">
      <c r="B260" s="1"/>
      <c r="D260" s="3"/>
      <c r="E260" s="2"/>
      <c r="G260" s="3"/>
      <c r="H260" s="3"/>
      <c r="I260" s="3"/>
      <c r="K260" s="3"/>
      <c r="X260" s="4"/>
      <c r="AE260" s="3"/>
      <c r="AK260" s="5"/>
    </row>
    <row r="261" spans="2:37" x14ac:dyDescent="0.25">
      <c r="B261" s="1"/>
      <c r="E261" s="2"/>
      <c r="H261" s="3"/>
      <c r="I261" s="3"/>
      <c r="K261" s="3"/>
      <c r="L261" s="3"/>
      <c r="X261" s="4"/>
      <c r="Z261" s="3"/>
      <c r="AE261" s="3"/>
      <c r="AK261" s="5"/>
    </row>
    <row r="262" spans="2:37" x14ac:dyDescent="0.25">
      <c r="B262" s="3"/>
      <c r="E262" s="2"/>
      <c r="G262" s="3"/>
      <c r="H262" s="3"/>
      <c r="I262" s="3"/>
      <c r="K262" s="3"/>
      <c r="L262" s="3"/>
      <c r="X262" s="4"/>
      <c r="Z262" s="3"/>
      <c r="AB262" s="3"/>
      <c r="AE262" s="3"/>
      <c r="AK262" s="5"/>
    </row>
    <row r="263" spans="2:37" x14ac:dyDescent="0.25">
      <c r="B263" s="1"/>
      <c r="E263" s="2"/>
      <c r="H263" s="3"/>
      <c r="I263" s="3"/>
      <c r="K263" s="3"/>
      <c r="L263" s="3"/>
      <c r="X263" s="4"/>
      <c r="Z263" s="3"/>
      <c r="AB263" s="3"/>
      <c r="AD263" s="3"/>
      <c r="AE263" s="3"/>
      <c r="AK263" s="5"/>
    </row>
    <row r="264" spans="2:37" x14ac:dyDescent="0.25">
      <c r="B264" s="1"/>
      <c r="E264" s="2"/>
      <c r="H264" s="3"/>
      <c r="I264" s="3"/>
      <c r="K264" s="3"/>
      <c r="L264" s="3"/>
      <c r="X264" s="4"/>
      <c r="Z264" s="3"/>
      <c r="AB264" s="3"/>
      <c r="AE264" s="3"/>
      <c r="AK264" s="5"/>
    </row>
    <row r="265" spans="2:37" x14ac:dyDescent="0.25">
      <c r="B265" s="1"/>
      <c r="E265" s="2"/>
      <c r="H265" s="3"/>
      <c r="I265" s="3"/>
      <c r="K265" s="3"/>
      <c r="L265" s="3"/>
      <c r="X265" s="4"/>
      <c r="Z265" s="3"/>
      <c r="AE265" s="3"/>
      <c r="AK265" s="5"/>
    </row>
    <row r="266" spans="2:37" x14ac:dyDescent="0.25">
      <c r="B266" s="3"/>
      <c r="E266" s="2"/>
      <c r="G266" s="3"/>
      <c r="H266" s="3"/>
      <c r="I266" s="3"/>
      <c r="K266" s="3"/>
      <c r="X266" s="4"/>
      <c r="AK266" s="5"/>
    </row>
    <row r="267" spans="2:37" x14ac:dyDescent="0.25">
      <c r="B267" s="1"/>
      <c r="E267" s="2"/>
      <c r="H267" s="3"/>
      <c r="I267" s="3"/>
      <c r="K267" s="3"/>
      <c r="L267" s="3"/>
      <c r="X267" s="4"/>
      <c r="Z267" s="3"/>
      <c r="AA267" s="3"/>
      <c r="AE267" s="3"/>
      <c r="AK267" s="5"/>
    </row>
    <row r="268" spans="2:37" x14ac:dyDescent="0.25">
      <c r="B268" s="1"/>
      <c r="E268" s="2"/>
      <c r="H268" s="3"/>
      <c r="I268" s="3"/>
      <c r="K268" s="3"/>
      <c r="L268" s="3"/>
      <c r="X268" s="4"/>
      <c r="Z268" s="3"/>
      <c r="AA268" s="3"/>
      <c r="AE268" s="3"/>
      <c r="AK268" s="5"/>
    </row>
    <row r="269" spans="2:37" x14ac:dyDescent="0.25">
      <c r="B269" s="1"/>
      <c r="E269" s="2"/>
      <c r="F269" s="3"/>
      <c r="G269" s="3"/>
      <c r="H269" s="3"/>
      <c r="I269" s="3"/>
      <c r="K269" s="3"/>
      <c r="X269" s="4"/>
      <c r="AE269" s="3"/>
      <c r="AK269" s="5"/>
    </row>
    <row r="270" spans="2:37" x14ac:dyDescent="0.25">
      <c r="B270" s="1"/>
      <c r="E270" s="2"/>
      <c r="H270" s="3"/>
      <c r="I270" s="3"/>
      <c r="K270" s="3"/>
      <c r="L270" s="3"/>
      <c r="X270" s="4"/>
      <c r="Z270" s="3"/>
      <c r="AB270" s="3"/>
      <c r="AE270" s="3"/>
      <c r="AK270" s="5"/>
    </row>
    <row r="271" spans="2:37" x14ac:dyDescent="0.25">
      <c r="B271" s="1"/>
      <c r="E271" s="2"/>
      <c r="H271" s="3"/>
      <c r="I271" s="3"/>
      <c r="K271" s="3"/>
      <c r="L271" s="3"/>
      <c r="X271" s="4"/>
      <c r="Z271" s="3"/>
      <c r="AB271" s="3"/>
      <c r="AE271" s="3"/>
      <c r="AK271" s="5"/>
    </row>
    <row r="272" spans="2:37" x14ac:dyDescent="0.25">
      <c r="B272" s="1"/>
      <c r="D272" s="3"/>
      <c r="E272" s="2"/>
      <c r="G272" s="3"/>
      <c r="H272" s="3"/>
      <c r="I272" s="3"/>
      <c r="K272" s="3"/>
      <c r="L272" s="3"/>
      <c r="X272" s="4"/>
      <c r="Z272" s="3"/>
      <c r="AE272" s="3"/>
      <c r="AK272" s="5"/>
    </row>
    <row r="273" spans="2:37" x14ac:dyDescent="0.25">
      <c r="B273" s="1"/>
      <c r="E273" s="2"/>
      <c r="H273" s="3"/>
      <c r="I273" s="3"/>
      <c r="K273" s="3"/>
      <c r="L273" s="3"/>
      <c r="X273" s="4"/>
      <c r="Z273" s="3"/>
      <c r="AE273" s="3"/>
      <c r="AK273" s="5"/>
    </row>
    <row r="274" spans="2:37" x14ac:dyDescent="0.25">
      <c r="B274" s="1"/>
      <c r="D274" s="3"/>
      <c r="E274" s="2"/>
      <c r="G274" s="3"/>
      <c r="H274" s="3"/>
      <c r="I274" s="3"/>
      <c r="K274" s="3"/>
      <c r="L274" s="3"/>
      <c r="X274" s="4"/>
      <c r="Z274" s="3"/>
      <c r="AE274" s="3"/>
      <c r="AK274" s="5"/>
    </row>
    <row r="275" spans="2:37" x14ac:dyDescent="0.25">
      <c r="B275" s="1"/>
      <c r="E275" s="2"/>
      <c r="H275" s="3"/>
      <c r="I275" s="3"/>
      <c r="K275" s="3"/>
      <c r="L275" s="3"/>
      <c r="X275" s="4"/>
      <c r="Z275" s="3"/>
      <c r="AE275" s="3"/>
      <c r="AK275" s="5"/>
    </row>
    <row r="276" spans="2:37" x14ac:dyDescent="0.25">
      <c r="B276" s="1"/>
      <c r="E276" s="2"/>
      <c r="H276" s="3"/>
      <c r="I276" s="3"/>
      <c r="K276" s="3"/>
      <c r="L276" s="3"/>
      <c r="X276" s="4"/>
      <c r="Z276" s="3"/>
      <c r="AA276" s="3"/>
      <c r="AE276" s="3"/>
      <c r="AK276" s="5"/>
    </row>
    <row r="277" spans="2:37" x14ac:dyDescent="0.25">
      <c r="B277" s="1"/>
      <c r="E277" s="2"/>
      <c r="H277" s="3"/>
      <c r="I277" s="3"/>
      <c r="K277" s="3"/>
      <c r="L277" s="3"/>
      <c r="X277" s="4"/>
      <c r="Z277" s="3"/>
      <c r="AB277" s="3"/>
      <c r="AE277" s="3"/>
      <c r="AK277" s="5"/>
    </row>
    <row r="278" spans="2:37" x14ac:dyDescent="0.25">
      <c r="B278" s="1"/>
      <c r="E278" s="2"/>
      <c r="G278" s="3"/>
      <c r="H278" s="3"/>
      <c r="I278" s="3"/>
      <c r="K278" s="3"/>
      <c r="L278" s="3"/>
      <c r="X278" s="4"/>
      <c r="Z278" s="3"/>
      <c r="AE278" s="3"/>
      <c r="AK278" s="5"/>
    </row>
    <row r="279" spans="2:37" x14ac:dyDescent="0.25">
      <c r="B279" s="1"/>
      <c r="E279" s="2"/>
      <c r="H279" s="3"/>
      <c r="I279" s="3"/>
      <c r="K279" s="3"/>
      <c r="L279" s="3"/>
      <c r="X279" s="4"/>
      <c r="Z279" s="3"/>
      <c r="AE279" s="3"/>
      <c r="AK279" s="5"/>
    </row>
    <row r="280" spans="2:37" x14ac:dyDescent="0.25">
      <c r="B280" s="1"/>
      <c r="E280" s="2"/>
      <c r="H280" s="3"/>
      <c r="I280" s="3"/>
      <c r="K280" s="3"/>
      <c r="L280" s="3"/>
      <c r="X280" s="4"/>
      <c r="AE280" s="3"/>
      <c r="AK280" s="5"/>
    </row>
    <row r="281" spans="2:37" x14ac:dyDescent="0.25">
      <c r="B281" s="1"/>
      <c r="E281" s="2"/>
      <c r="F281" s="3"/>
      <c r="G281" s="3"/>
      <c r="H281" s="3"/>
      <c r="I281" s="3"/>
      <c r="K281" s="3"/>
      <c r="L281" s="3"/>
      <c r="X281" s="4"/>
      <c r="Z281" s="3"/>
      <c r="AB281" s="3"/>
      <c r="AE281" s="3"/>
      <c r="AK281" s="5"/>
    </row>
    <row r="282" spans="2:37" x14ac:dyDescent="0.25">
      <c r="B282" s="1"/>
      <c r="E282" s="2"/>
      <c r="H282" s="3"/>
      <c r="I282" s="3"/>
      <c r="K282" s="3"/>
      <c r="L282" s="3"/>
      <c r="X282" s="4"/>
      <c r="Z282" s="3"/>
      <c r="AE282" s="3"/>
      <c r="AK282" s="5"/>
    </row>
    <row r="283" spans="2:37" x14ac:dyDescent="0.25">
      <c r="B283" s="1"/>
      <c r="E283" s="2"/>
      <c r="G283" s="3"/>
      <c r="H283" s="3"/>
      <c r="I283" s="3"/>
      <c r="K283" s="3"/>
      <c r="L283" s="3"/>
      <c r="X283" s="4"/>
      <c r="Z283" s="3"/>
      <c r="AE283" s="3"/>
      <c r="AK283" s="5"/>
    </row>
    <row r="284" spans="2:37" x14ac:dyDescent="0.25">
      <c r="B284" s="1"/>
      <c r="E284" s="2"/>
      <c r="H284" s="3"/>
      <c r="I284" s="3"/>
      <c r="K284" s="3"/>
      <c r="L284" s="3"/>
      <c r="X284" s="4"/>
      <c r="Z284" s="3"/>
      <c r="AB284" s="3"/>
      <c r="AE284" s="3"/>
      <c r="AK284" s="5"/>
    </row>
    <row r="285" spans="2:37" x14ac:dyDescent="0.25">
      <c r="B285" s="1"/>
      <c r="E285" s="2"/>
      <c r="G285" s="3"/>
      <c r="H285" s="3"/>
      <c r="I285" s="3"/>
      <c r="K285" s="3"/>
      <c r="L285" s="3"/>
      <c r="X285" s="4"/>
      <c r="AB285" s="3"/>
      <c r="AE285" s="3"/>
      <c r="AK285" s="5"/>
    </row>
    <row r="286" spans="2:37" x14ac:dyDescent="0.25">
      <c r="B286" s="1"/>
      <c r="E286" s="2"/>
      <c r="H286" s="3"/>
      <c r="I286" s="3"/>
      <c r="K286" s="3"/>
      <c r="L286" s="3"/>
      <c r="X286" s="4"/>
      <c r="Z286" s="3"/>
      <c r="AB286" s="3"/>
      <c r="AE286" s="3"/>
      <c r="AK286" s="5"/>
    </row>
    <row r="287" spans="2:37" x14ac:dyDescent="0.25">
      <c r="B287" s="1"/>
      <c r="E287" s="2"/>
      <c r="F287" s="3"/>
      <c r="G287" s="3"/>
      <c r="H287" s="3"/>
      <c r="I287" s="3"/>
      <c r="K287" s="3"/>
      <c r="L287" s="3"/>
      <c r="X287" s="4"/>
      <c r="Z287" s="3"/>
      <c r="AE287" s="3"/>
      <c r="AK287" s="5"/>
    </row>
    <row r="288" spans="2:37" x14ac:dyDescent="0.25">
      <c r="B288" s="3"/>
      <c r="E288" s="2"/>
      <c r="G288" s="3"/>
      <c r="H288" s="3"/>
      <c r="I288" s="3"/>
      <c r="K288" s="3"/>
      <c r="X288" s="4"/>
      <c r="AE288" s="3"/>
      <c r="AK288" s="5"/>
    </row>
    <row r="289" spans="2:37" x14ac:dyDescent="0.25">
      <c r="B289" s="1"/>
      <c r="E289" s="2"/>
      <c r="H289" s="3"/>
      <c r="I289" s="3"/>
      <c r="K289" s="3"/>
      <c r="L289" s="3"/>
      <c r="X289" s="4"/>
      <c r="AE289" s="3"/>
      <c r="AK289" s="5"/>
    </row>
    <row r="290" spans="2:37" x14ac:dyDescent="0.25">
      <c r="B290" s="1"/>
      <c r="D290" s="3"/>
      <c r="E290" s="2"/>
      <c r="H290" s="3"/>
      <c r="I290" s="3"/>
      <c r="K290" s="3"/>
      <c r="L290" s="3"/>
      <c r="X290" s="4"/>
      <c r="Z290" s="3"/>
      <c r="AE290" s="3"/>
      <c r="AK290" s="5"/>
    </row>
    <row r="291" spans="2:37" x14ac:dyDescent="0.25">
      <c r="B291" s="1"/>
      <c r="E291" s="2"/>
      <c r="H291" s="3"/>
      <c r="I291" s="3"/>
      <c r="K291" s="3"/>
      <c r="L291" s="3"/>
      <c r="X291" s="4"/>
      <c r="Z291" s="3"/>
      <c r="AE291" s="3"/>
      <c r="AK291" s="5"/>
    </row>
    <row r="292" spans="2:37" x14ac:dyDescent="0.25">
      <c r="B292" s="1"/>
      <c r="E292" s="2"/>
      <c r="H292" s="3"/>
      <c r="I292" s="3"/>
      <c r="K292" s="3"/>
      <c r="L292" s="3"/>
      <c r="X292" s="4"/>
      <c r="Z292" s="3"/>
      <c r="AD292" s="3"/>
      <c r="AE292" s="3"/>
      <c r="AK292" s="5"/>
    </row>
    <row r="293" spans="2:37" x14ac:dyDescent="0.25">
      <c r="B293" s="1"/>
      <c r="E293" s="2"/>
      <c r="H293" s="3"/>
      <c r="I293" s="3"/>
      <c r="K293" s="3"/>
      <c r="L293" s="3"/>
      <c r="X293" s="4"/>
      <c r="Z293" s="3"/>
      <c r="AE293" s="3"/>
      <c r="AK293" s="5"/>
    </row>
    <row r="294" spans="2:37" x14ac:dyDescent="0.25">
      <c r="B294" s="1"/>
      <c r="E294" s="2"/>
      <c r="H294" s="3"/>
      <c r="I294" s="3"/>
      <c r="K294" s="3"/>
      <c r="L294" s="3"/>
      <c r="X294" s="4"/>
      <c r="Z294" s="3"/>
      <c r="AE294" s="3"/>
      <c r="AK294" s="5"/>
    </row>
    <row r="295" spans="2:37" x14ac:dyDescent="0.25">
      <c r="B295" s="1"/>
      <c r="E295" s="2"/>
      <c r="H295" s="3"/>
      <c r="I295" s="3"/>
      <c r="K295" s="3"/>
      <c r="L295" s="3"/>
      <c r="X295" s="4"/>
      <c r="AB295" s="3"/>
      <c r="AE295" s="3"/>
      <c r="AK295" s="5"/>
    </row>
    <row r="296" spans="2:37" x14ac:dyDescent="0.25">
      <c r="B296" s="1"/>
      <c r="E296" s="2"/>
      <c r="H296" s="3"/>
      <c r="I296" s="3"/>
      <c r="K296" s="3"/>
      <c r="L296" s="3"/>
      <c r="X296" s="4"/>
      <c r="Z296" s="3"/>
      <c r="AE296" s="3"/>
      <c r="AK296" s="5"/>
    </row>
    <row r="297" spans="2:37" x14ac:dyDescent="0.25">
      <c r="B297" s="1"/>
      <c r="E297" s="2"/>
      <c r="H297" s="3"/>
      <c r="I297" s="3"/>
      <c r="K297" s="3"/>
      <c r="X297" s="4"/>
      <c r="AE297" s="3"/>
      <c r="AK297" s="5"/>
    </row>
    <row r="298" spans="2:37" x14ac:dyDescent="0.25">
      <c r="B298" s="1"/>
      <c r="E298" s="2"/>
      <c r="H298" s="3"/>
      <c r="I298" s="3"/>
      <c r="K298" s="3"/>
      <c r="L298" s="3"/>
      <c r="X298" s="4"/>
      <c r="Z298" s="3"/>
      <c r="AB298" s="3"/>
      <c r="AE298" s="3"/>
      <c r="AK298" s="5"/>
    </row>
    <row r="299" spans="2:37" x14ac:dyDescent="0.25">
      <c r="B299" s="1"/>
      <c r="E299" s="2"/>
      <c r="H299" s="3"/>
      <c r="I299" s="3"/>
      <c r="K299" s="3"/>
      <c r="L299" s="3"/>
      <c r="X299" s="4"/>
      <c r="AE299" s="3"/>
      <c r="AK299" s="5"/>
    </row>
    <row r="300" spans="2:37" x14ac:dyDescent="0.25">
      <c r="B300" s="1"/>
      <c r="D300" s="3"/>
      <c r="E300" s="2"/>
      <c r="G300" s="3"/>
      <c r="H300" s="3"/>
      <c r="I300" s="3"/>
      <c r="K300" s="3"/>
      <c r="L300" s="3"/>
      <c r="X300" s="4"/>
      <c r="Z300" s="3"/>
      <c r="AE300" s="3"/>
      <c r="AK300" s="5"/>
    </row>
    <row r="301" spans="2:37" x14ac:dyDescent="0.25">
      <c r="B301" s="1"/>
      <c r="E301" s="2"/>
      <c r="G301" s="3"/>
      <c r="H301" s="3"/>
      <c r="I301" s="3"/>
      <c r="K301" s="3"/>
      <c r="L301" s="3"/>
      <c r="X301" s="4"/>
      <c r="Z301" s="3"/>
      <c r="AE301" s="3"/>
      <c r="AK301" s="5"/>
    </row>
    <row r="302" spans="2:37" x14ac:dyDescent="0.25">
      <c r="B302" s="1"/>
      <c r="E302" s="2"/>
      <c r="H302" s="3"/>
      <c r="I302" s="3"/>
      <c r="K302" s="3"/>
      <c r="L302" s="3"/>
      <c r="X302" s="4"/>
      <c r="Z302" s="3"/>
      <c r="AE302" s="3"/>
      <c r="AK302" s="5"/>
    </row>
    <row r="303" spans="2:37" x14ac:dyDescent="0.25">
      <c r="B303" s="1"/>
      <c r="E303" s="2"/>
      <c r="H303" s="3"/>
      <c r="I303" s="3"/>
      <c r="K303" s="3"/>
      <c r="L303" s="3"/>
      <c r="X303" s="4"/>
      <c r="Z303" s="3"/>
      <c r="AE303" s="3"/>
      <c r="AK303" s="5"/>
    </row>
    <row r="304" spans="2:37" x14ac:dyDescent="0.25">
      <c r="B304" s="1"/>
      <c r="D304" s="3"/>
      <c r="E304" s="2"/>
      <c r="G304" s="3"/>
      <c r="H304" s="3"/>
      <c r="I304" s="3"/>
      <c r="K304" s="3"/>
      <c r="L304" s="3"/>
      <c r="X304" s="4"/>
      <c r="AB304" s="3"/>
      <c r="AE304" s="3"/>
      <c r="AK304" s="5"/>
    </row>
    <row r="305" spans="2:37" x14ac:dyDescent="0.25">
      <c r="B305" s="1"/>
      <c r="E305" s="2"/>
      <c r="H305" s="3"/>
      <c r="I305" s="3"/>
      <c r="K305" s="3"/>
      <c r="L305" s="3"/>
      <c r="X305" s="4"/>
      <c r="Z305" s="3"/>
      <c r="AE305" s="3"/>
      <c r="AK305" s="5"/>
    </row>
    <row r="306" spans="2:37" x14ac:dyDescent="0.25">
      <c r="B306" s="1"/>
      <c r="D306" s="3"/>
      <c r="E306" s="2"/>
      <c r="G306" s="3"/>
      <c r="H306" s="3"/>
      <c r="I306" s="3"/>
      <c r="K306" s="3"/>
      <c r="L306" s="3"/>
      <c r="X306" s="4"/>
      <c r="Z306" s="3"/>
      <c r="AE306" s="3"/>
      <c r="AK306" s="5"/>
    </row>
    <row r="307" spans="2:37" x14ac:dyDescent="0.25">
      <c r="B307" s="1"/>
      <c r="E307" s="2"/>
      <c r="H307" s="3"/>
      <c r="I307" s="3"/>
      <c r="K307" s="3"/>
      <c r="L307" s="3"/>
      <c r="X307" s="4"/>
      <c r="Z307" s="3"/>
      <c r="AE307" s="3"/>
      <c r="AK307" s="5"/>
    </row>
    <row r="308" spans="2:37" x14ac:dyDescent="0.25">
      <c r="B308" s="1"/>
      <c r="D308" s="3"/>
      <c r="E308" s="2"/>
      <c r="G308" s="3"/>
      <c r="H308" s="3"/>
      <c r="I308" s="3"/>
      <c r="K308" s="3"/>
      <c r="L308" s="3"/>
      <c r="X308" s="4"/>
      <c r="Z308" s="3"/>
      <c r="AD308" s="3"/>
      <c r="AE308" s="3"/>
      <c r="AK308" s="5"/>
    </row>
    <row r="309" spans="2:37" x14ac:dyDescent="0.25">
      <c r="B309" s="1"/>
      <c r="E309" s="2"/>
      <c r="H309" s="3"/>
      <c r="I309" s="3"/>
      <c r="K309" s="3"/>
      <c r="L309" s="3"/>
      <c r="X309" s="4"/>
      <c r="Z309" s="3"/>
      <c r="AB309" s="3"/>
      <c r="AD309" s="3"/>
      <c r="AE309" s="3"/>
      <c r="AK309" s="5"/>
    </row>
    <row r="310" spans="2:37" x14ac:dyDescent="0.25">
      <c r="B310" s="1"/>
      <c r="E310" s="2"/>
      <c r="H310" s="3"/>
      <c r="I310" s="3"/>
      <c r="K310" s="3"/>
      <c r="L310" s="3"/>
      <c r="X310" s="4"/>
      <c r="AD310" s="3"/>
      <c r="AE310" s="3"/>
      <c r="AK310" s="5"/>
    </row>
    <row r="311" spans="2:37" x14ac:dyDescent="0.25">
      <c r="B311" s="1"/>
      <c r="E311" s="2"/>
      <c r="G311" s="3"/>
      <c r="H311" s="3"/>
      <c r="I311" s="3"/>
      <c r="K311" s="3"/>
      <c r="L311" s="3"/>
      <c r="X311" s="4"/>
      <c r="AE311" s="3"/>
      <c r="AK311" s="5"/>
    </row>
    <row r="312" spans="2:37" x14ac:dyDescent="0.25">
      <c r="B312" s="1"/>
      <c r="D312" s="3"/>
      <c r="E312" s="2"/>
      <c r="G312" s="3"/>
      <c r="H312" s="3"/>
      <c r="I312" s="3"/>
      <c r="K312" s="3"/>
      <c r="L312" s="3"/>
      <c r="X312" s="4"/>
      <c r="Z312" s="3"/>
      <c r="AE312" s="3"/>
      <c r="AK312" s="5"/>
    </row>
    <row r="313" spans="2:37" x14ac:dyDescent="0.25">
      <c r="B313" s="1"/>
      <c r="E313" s="2"/>
      <c r="H313" s="3"/>
      <c r="I313" s="3"/>
      <c r="K313" s="3"/>
      <c r="L313" s="3"/>
      <c r="X313" s="4"/>
      <c r="AE313" s="3"/>
      <c r="AK313" s="5"/>
    </row>
    <row r="314" spans="2:37" x14ac:dyDescent="0.25">
      <c r="B314" s="1"/>
      <c r="E314" s="2"/>
      <c r="G314" s="3"/>
      <c r="H314" s="3"/>
      <c r="I314" s="3"/>
      <c r="K314" s="3"/>
      <c r="X314" s="4"/>
      <c r="AK314" s="5"/>
    </row>
    <row r="315" spans="2:37" x14ac:dyDescent="0.25">
      <c r="B315" s="1"/>
      <c r="E315" s="2"/>
      <c r="H315" s="3"/>
      <c r="I315" s="3"/>
      <c r="K315" s="3"/>
      <c r="L315" s="3"/>
      <c r="X315" s="4"/>
      <c r="Z315" s="3"/>
      <c r="AE315" s="3"/>
      <c r="AK315" s="5"/>
    </row>
    <row r="316" spans="2:37" x14ac:dyDescent="0.25">
      <c r="B316" s="3"/>
      <c r="E316" s="2"/>
      <c r="G316" s="3"/>
      <c r="H316" s="3"/>
      <c r="I316" s="3"/>
      <c r="K316" s="3"/>
      <c r="L316" s="3"/>
      <c r="X316" s="4"/>
      <c r="Z316" s="3"/>
      <c r="AE316" s="3"/>
    </row>
    <row r="317" spans="2:37" x14ac:dyDescent="0.25">
      <c r="B317" s="1"/>
      <c r="E317" s="2"/>
      <c r="H317" s="3"/>
      <c r="I317" s="3"/>
      <c r="K317" s="3"/>
      <c r="L317" s="3"/>
      <c r="X317" s="4"/>
      <c r="AD317" s="3"/>
      <c r="AE317" s="3"/>
      <c r="AK317" s="5"/>
    </row>
    <row r="318" spans="2:37" x14ac:dyDescent="0.25">
      <c r="B318" s="1"/>
      <c r="E318" s="2"/>
      <c r="H318" s="3"/>
      <c r="I318" s="3"/>
      <c r="K318" s="3"/>
      <c r="L318" s="3"/>
      <c r="X318" s="4"/>
      <c r="AE318" s="3"/>
      <c r="AK318" s="5"/>
    </row>
    <row r="319" spans="2:37" x14ac:dyDescent="0.25">
      <c r="B319" s="3"/>
      <c r="E319" s="2"/>
      <c r="G319" s="3"/>
      <c r="H319" s="3"/>
      <c r="I319" s="3"/>
      <c r="K319" s="3"/>
      <c r="L319" s="3"/>
      <c r="X319" s="4"/>
      <c r="Z319" s="3"/>
      <c r="AE319" s="3"/>
      <c r="AK319" s="5"/>
    </row>
    <row r="320" spans="2:37" x14ac:dyDescent="0.25">
      <c r="B320" s="1"/>
      <c r="E320" s="2"/>
      <c r="H320" s="3"/>
      <c r="I320" s="3"/>
      <c r="K320" s="3"/>
      <c r="L320" s="3"/>
      <c r="X320" s="4"/>
      <c r="AE320" s="3"/>
      <c r="AK320" s="5"/>
    </row>
    <row r="321" spans="2:37" x14ac:dyDescent="0.25">
      <c r="B321" s="1"/>
      <c r="E321" s="2"/>
      <c r="G321" s="3"/>
      <c r="H321" s="3"/>
      <c r="I321" s="3"/>
      <c r="K321" s="3"/>
      <c r="X321" s="4"/>
      <c r="AE321" s="3"/>
      <c r="AK321" s="5"/>
    </row>
    <row r="322" spans="2:37" x14ac:dyDescent="0.25">
      <c r="B322" s="1"/>
      <c r="E322" s="2"/>
      <c r="H322" s="3"/>
      <c r="I322" s="3"/>
      <c r="K322" s="3"/>
      <c r="L322" s="3"/>
      <c r="X322" s="4"/>
      <c r="Z322" s="3"/>
      <c r="AB322" s="3"/>
      <c r="AE322" s="3"/>
      <c r="AK322" s="5"/>
    </row>
    <row r="323" spans="2:37" x14ac:dyDescent="0.25">
      <c r="B323" s="1"/>
      <c r="E323" s="2"/>
      <c r="H323" s="3"/>
      <c r="I323" s="3"/>
      <c r="K323" s="3"/>
      <c r="L323" s="3"/>
      <c r="X323" s="4"/>
      <c r="Z323" s="3"/>
      <c r="AD323" s="3"/>
      <c r="AE323" s="3"/>
      <c r="AK323" s="5"/>
    </row>
    <row r="324" spans="2:37" x14ac:dyDescent="0.25">
      <c r="B324" s="1"/>
      <c r="E324" s="2"/>
      <c r="H324" s="3"/>
      <c r="I324" s="3"/>
      <c r="K324" s="3"/>
      <c r="L324" s="3"/>
      <c r="X324" s="4"/>
      <c r="Z324" s="3"/>
      <c r="AE324" s="3"/>
      <c r="AK324" s="5"/>
    </row>
    <row r="325" spans="2:37" x14ac:dyDescent="0.25">
      <c r="B325" s="1"/>
      <c r="E325" s="2"/>
      <c r="H325" s="3"/>
      <c r="I325" s="3"/>
      <c r="K325" s="3"/>
      <c r="L325" s="3"/>
      <c r="X325" s="4"/>
    </row>
    <row r="326" spans="2:37" x14ac:dyDescent="0.25">
      <c r="B326" s="1"/>
      <c r="E326" s="2"/>
      <c r="G326" s="3"/>
      <c r="H326" s="3"/>
      <c r="I326" s="3"/>
      <c r="K326" s="3"/>
      <c r="L326" s="3"/>
      <c r="X326" s="4"/>
      <c r="Z326" s="3"/>
      <c r="AE326" s="3"/>
      <c r="AK326" s="5"/>
    </row>
    <row r="327" spans="2:37" x14ac:dyDescent="0.25">
      <c r="B327" s="1"/>
      <c r="E327" s="2"/>
      <c r="H327" s="3"/>
      <c r="I327" s="3"/>
      <c r="K327" s="3"/>
      <c r="L327" s="3"/>
      <c r="X327" s="4"/>
      <c r="AK327" s="5"/>
    </row>
    <row r="328" spans="2:37" x14ac:dyDescent="0.25">
      <c r="B328" s="1"/>
      <c r="D328" s="3"/>
      <c r="E328" s="2"/>
      <c r="H328" s="3"/>
      <c r="I328" s="3"/>
      <c r="K328" s="3"/>
      <c r="L328" s="3"/>
      <c r="X328" s="4"/>
      <c r="AK328" s="5"/>
    </row>
    <row r="329" spans="2:37" x14ac:dyDescent="0.25">
      <c r="B329" s="1"/>
      <c r="D329" s="3"/>
      <c r="E329" s="2"/>
      <c r="G329" s="3"/>
      <c r="H329" s="3"/>
      <c r="I329" s="3"/>
      <c r="K329" s="3"/>
      <c r="L329" s="3"/>
      <c r="X329" s="4"/>
      <c r="AB329" s="3"/>
      <c r="AE329" s="3"/>
      <c r="AK329" s="5"/>
    </row>
    <row r="330" spans="2:37" x14ac:dyDescent="0.25">
      <c r="B330" s="1"/>
      <c r="E330" s="2"/>
      <c r="H330" s="3"/>
      <c r="I330" s="3"/>
      <c r="K330" s="3"/>
      <c r="L330" s="3"/>
      <c r="X330" s="4"/>
      <c r="AA330" s="3"/>
      <c r="AE330" s="3"/>
      <c r="AK330" s="5"/>
    </row>
    <row r="331" spans="2:37" x14ac:dyDescent="0.25">
      <c r="B331" s="1"/>
      <c r="E331" s="2"/>
      <c r="H331" s="3"/>
      <c r="I331" s="3"/>
      <c r="K331" s="3"/>
      <c r="L331" s="3"/>
      <c r="X331" s="4"/>
      <c r="Z331" s="3"/>
      <c r="AB331" s="3"/>
      <c r="AE331" s="3"/>
      <c r="AK331" s="5"/>
    </row>
    <row r="332" spans="2:37" x14ac:dyDescent="0.25">
      <c r="B332" s="1"/>
      <c r="E332" s="2"/>
      <c r="H332" s="3"/>
      <c r="I332" s="3"/>
      <c r="K332" s="3"/>
      <c r="X332" s="4"/>
      <c r="AK332" s="5"/>
    </row>
    <row r="333" spans="2:37" x14ac:dyDescent="0.25">
      <c r="B333" s="1"/>
      <c r="E333" s="2"/>
      <c r="H333" s="3"/>
      <c r="I333" s="3"/>
      <c r="K333" s="3"/>
      <c r="X333" s="4"/>
      <c r="AK333" s="5"/>
    </row>
    <row r="334" spans="2:37" x14ac:dyDescent="0.25">
      <c r="B334" s="1"/>
      <c r="E334" s="2"/>
      <c r="H334" s="3"/>
      <c r="I334" s="3"/>
      <c r="K334" s="3"/>
      <c r="X334" s="4"/>
      <c r="AK334" s="5"/>
    </row>
    <row r="335" spans="2:37" x14ac:dyDescent="0.25">
      <c r="B335" s="1"/>
      <c r="E335" s="2"/>
      <c r="G335" s="3"/>
      <c r="H335" s="3"/>
      <c r="I335" s="3"/>
      <c r="K335" s="3"/>
      <c r="L335" s="3"/>
      <c r="X335" s="4"/>
      <c r="AA335" s="3"/>
      <c r="AE335" s="3"/>
      <c r="AK335" s="5"/>
    </row>
    <row r="336" spans="2:37" x14ac:dyDescent="0.25">
      <c r="B336" s="1"/>
      <c r="E336" s="2"/>
      <c r="H336" s="3"/>
      <c r="I336" s="3"/>
      <c r="K336" s="3"/>
      <c r="L336" s="3"/>
      <c r="X336" s="4"/>
      <c r="Z336" s="3"/>
      <c r="AE336" s="3"/>
      <c r="AK336" s="5"/>
    </row>
    <row r="337" spans="2:37" x14ac:dyDescent="0.25">
      <c r="B337" s="1"/>
      <c r="E337" s="2"/>
      <c r="H337" s="3"/>
      <c r="I337" s="3"/>
      <c r="K337" s="3"/>
      <c r="L337" s="3"/>
      <c r="X337" s="4"/>
      <c r="AA337" s="3"/>
      <c r="AB337" s="3"/>
      <c r="AE337" s="3"/>
      <c r="AK337" s="5"/>
    </row>
    <row r="338" spans="2:37" x14ac:dyDescent="0.25">
      <c r="B338" s="1"/>
      <c r="E338" s="2"/>
      <c r="H338" s="3"/>
      <c r="I338" s="3"/>
      <c r="K338" s="3"/>
      <c r="L338" s="3"/>
      <c r="X338" s="4"/>
      <c r="AA338" s="3"/>
      <c r="AE338" s="3"/>
      <c r="AK338" s="5"/>
    </row>
    <row r="339" spans="2:37" x14ac:dyDescent="0.25">
      <c r="B339" s="3"/>
      <c r="E339" s="2"/>
      <c r="G339" s="3"/>
      <c r="H339" s="3"/>
      <c r="I339" s="3"/>
      <c r="K339" s="3"/>
      <c r="L339" s="3"/>
      <c r="X339" s="4"/>
    </row>
    <row r="340" spans="2:37" x14ac:dyDescent="0.25">
      <c r="B340" s="1"/>
      <c r="D340" s="3"/>
      <c r="E340" s="2"/>
      <c r="G340" s="3"/>
      <c r="H340" s="3"/>
      <c r="I340" s="3"/>
      <c r="K340" s="3"/>
      <c r="L340" s="3"/>
      <c r="X340" s="4"/>
      <c r="AB340" s="3"/>
      <c r="AD340" s="3"/>
      <c r="AE340" s="3"/>
      <c r="AK340" s="5"/>
    </row>
    <row r="341" spans="2:37" x14ac:dyDescent="0.25">
      <c r="B341" s="1"/>
      <c r="E341" s="2"/>
      <c r="G341" s="3"/>
      <c r="H341" s="3"/>
      <c r="I341" s="3"/>
      <c r="K341" s="3"/>
      <c r="L341" s="3"/>
      <c r="X341" s="4"/>
    </row>
    <row r="342" spans="2:37" x14ac:dyDescent="0.25">
      <c r="B342" s="1"/>
      <c r="D342" s="3"/>
      <c r="E342" s="2"/>
      <c r="G342" s="3"/>
      <c r="H342" s="3"/>
      <c r="I342" s="3"/>
      <c r="K342" s="3"/>
      <c r="L342" s="3"/>
      <c r="X342" s="4"/>
    </row>
    <row r="343" spans="2:37" x14ac:dyDescent="0.25">
      <c r="B343" s="1"/>
      <c r="D343" s="3"/>
      <c r="E343" s="2"/>
      <c r="G343" s="3"/>
      <c r="H343" s="3"/>
      <c r="I343" s="3"/>
      <c r="K343" s="3"/>
      <c r="X343" s="4"/>
    </row>
    <row r="344" spans="2:37" x14ac:dyDescent="0.25">
      <c r="B344" s="1"/>
      <c r="E344" s="2"/>
      <c r="H344" s="3"/>
      <c r="I344" s="3"/>
      <c r="K344" s="3"/>
      <c r="L344" s="3"/>
      <c r="X344" s="4"/>
    </row>
    <row r="345" spans="2:37" x14ac:dyDescent="0.25">
      <c r="B345" s="1"/>
      <c r="D345" s="3"/>
      <c r="E345" s="2"/>
      <c r="G345" s="3"/>
      <c r="H345" s="3"/>
      <c r="I345" s="3"/>
      <c r="K345" s="3"/>
      <c r="L345" s="3"/>
      <c r="X345" s="4"/>
      <c r="AB345" s="3"/>
      <c r="AE345" s="3"/>
      <c r="AK345" s="5"/>
    </row>
    <row r="346" spans="2:37" x14ac:dyDescent="0.25">
      <c r="B346" s="1"/>
      <c r="E346" s="2"/>
      <c r="G346" s="3"/>
      <c r="H346" s="3"/>
      <c r="I346" s="3"/>
      <c r="K346" s="3"/>
      <c r="L346" s="3"/>
      <c r="X346" s="4"/>
      <c r="AD346" s="3"/>
      <c r="AE346" s="3"/>
      <c r="AK346" s="5"/>
    </row>
    <row r="347" spans="2:37" x14ac:dyDescent="0.25">
      <c r="B347" s="1"/>
      <c r="E347" s="2"/>
      <c r="H347" s="3"/>
      <c r="I347" s="3"/>
      <c r="K347" s="3"/>
      <c r="L347" s="3"/>
      <c r="X347" s="4"/>
      <c r="Z347" s="3"/>
      <c r="AE347" s="3"/>
      <c r="AK347" s="5"/>
    </row>
    <row r="348" spans="2:37" x14ac:dyDescent="0.25">
      <c r="B348" s="1"/>
      <c r="E348" s="2"/>
      <c r="G348" s="3"/>
      <c r="H348" s="3"/>
      <c r="I348" s="3"/>
      <c r="K348" s="3"/>
      <c r="L348" s="3"/>
      <c r="X348" s="4"/>
      <c r="AA348" s="3"/>
      <c r="AE348" s="3"/>
      <c r="AK348" s="5"/>
    </row>
    <row r="349" spans="2:37" x14ac:dyDescent="0.25">
      <c r="B349" s="1"/>
      <c r="E349" s="2"/>
      <c r="H349" s="3"/>
      <c r="I349" s="3"/>
      <c r="K349" s="3"/>
      <c r="L349" s="3"/>
      <c r="X349" s="4"/>
    </row>
    <row r="350" spans="2:37" x14ac:dyDescent="0.25">
      <c r="B350" s="3"/>
      <c r="G350" s="3"/>
    </row>
    <row r="351" spans="2:37" x14ac:dyDescent="0.25">
      <c r="B351" s="1"/>
      <c r="E351" s="2"/>
      <c r="H351" s="3"/>
      <c r="I351" s="3"/>
      <c r="K351" s="3"/>
      <c r="L351" s="3"/>
      <c r="X351" s="4"/>
      <c r="AK351" s="5"/>
    </row>
    <row r="352" spans="2:37" x14ac:dyDescent="0.25">
      <c r="B352" s="1"/>
      <c r="D352" s="3"/>
      <c r="E352" s="2"/>
      <c r="G352" s="3"/>
      <c r="H352" s="3"/>
      <c r="I352" s="3"/>
      <c r="K352" s="3"/>
      <c r="X352" s="4"/>
      <c r="AK352" s="5"/>
    </row>
    <row r="353" spans="2:37" x14ac:dyDescent="0.25">
      <c r="B353" s="1"/>
      <c r="E353" s="2"/>
      <c r="H353" s="3"/>
      <c r="I353" s="3"/>
      <c r="K353" s="3"/>
      <c r="L353" s="3"/>
      <c r="X353" s="4"/>
      <c r="AB353" s="3"/>
      <c r="AE353" s="3"/>
      <c r="AK353" s="5"/>
    </row>
    <row r="354" spans="2:37" x14ac:dyDescent="0.25">
      <c r="B354" s="1"/>
      <c r="D354" s="3"/>
      <c r="E354" s="2"/>
      <c r="G354" s="3"/>
      <c r="H354" s="3"/>
      <c r="I354" s="3"/>
      <c r="K354" s="3"/>
      <c r="L354" s="3"/>
      <c r="X354" s="4"/>
      <c r="AB354" s="3"/>
      <c r="AE354" s="3"/>
      <c r="AK354" s="5"/>
    </row>
    <row r="355" spans="2:37" x14ac:dyDescent="0.25">
      <c r="B355" s="1"/>
      <c r="E355" s="2"/>
      <c r="H355" s="3"/>
      <c r="I355" s="3"/>
      <c r="K355" s="3"/>
      <c r="L355" s="3"/>
      <c r="X355" s="4"/>
      <c r="AB355" s="3"/>
      <c r="AD355" s="3"/>
      <c r="AE355" s="3"/>
      <c r="AK355" s="5"/>
    </row>
    <row r="356" spans="2:37" x14ac:dyDescent="0.25">
      <c r="B356" s="1"/>
      <c r="D356" s="3"/>
      <c r="E356" s="2"/>
      <c r="G356" s="3"/>
      <c r="H356" s="3"/>
      <c r="I356" s="3"/>
      <c r="K356" s="3"/>
      <c r="L356" s="3"/>
      <c r="X356" s="4"/>
      <c r="AB356" s="3"/>
      <c r="AE356" s="3"/>
      <c r="AK356" s="5"/>
    </row>
    <row r="357" spans="2:37" x14ac:dyDescent="0.25">
      <c r="B357" s="1"/>
      <c r="E357" s="2"/>
      <c r="H357" s="3"/>
      <c r="I357" s="3"/>
      <c r="K357" s="3"/>
      <c r="L357" s="3"/>
      <c r="X357" s="4"/>
      <c r="Z357" s="3"/>
      <c r="AB357" s="3"/>
      <c r="AE357" s="3"/>
      <c r="AK357" s="5"/>
    </row>
    <row r="358" spans="2:37" x14ac:dyDescent="0.25">
      <c r="B358" s="1"/>
      <c r="E358" s="2"/>
      <c r="H358" s="3"/>
      <c r="I358" s="3"/>
      <c r="K358" s="3"/>
      <c r="L358" s="3"/>
      <c r="X358" s="4"/>
      <c r="AB358" s="3"/>
      <c r="AK358" s="5"/>
    </row>
    <row r="359" spans="2:37" x14ac:dyDescent="0.25">
      <c r="B359" s="1"/>
      <c r="E359" s="2"/>
      <c r="H359" s="3"/>
      <c r="I359" s="3"/>
      <c r="K359" s="3"/>
      <c r="L359" s="3"/>
      <c r="X359" s="4"/>
      <c r="AB359" s="3"/>
      <c r="AK359" s="5"/>
    </row>
    <row r="360" spans="2:37" x14ac:dyDescent="0.25">
      <c r="B360" s="1"/>
      <c r="E360" s="2"/>
      <c r="H360" s="3"/>
      <c r="I360" s="3"/>
      <c r="K360" s="3"/>
      <c r="L360" s="3"/>
      <c r="X360" s="4"/>
      <c r="Z360" s="3"/>
      <c r="AB360" s="3"/>
      <c r="AE360" s="3"/>
      <c r="AK360" s="5"/>
    </row>
    <row r="361" spans="2:37" x14ac:dyDescent="0.25">
      <c r="B361" s="1"/>
      <c r="E361" s="2"/>
      <c r="H361" s="3"/>
      <c r="I361" s="3"/>
      <c r="K361" s="3"/>
      <c r="X361" s="4"/>
      <c r="AE361" s="3"/>
      <c r="AK361" s="5"/>
    </row>
    <row r="362" spans="2:37" x14ac:dyDescent="0.25">
      <c r="B362" s="1"/>
      <c r="E362" s="2"/>
      <c r="H362" s="3"/>
      <c r="I362" s="3"/>
      <c r="K362" s="3"/>
      <c r="L362" s="3"/>
      <c r="X362" s="4"/>
      <c r="Z362" s="3"/>
      <c r="AE362" s="3"/>
      <c r="AK362" s="5"/>
    </row>
    <row r="363" spans="2:37" x14ac:dyDescent="0.25">
      <c r="B363" s="1"/>
      <c r="E363" s="2"/>
      <c r="G363" s="3"/>
      <c r="H363" s="3"/>
      <c r="I363" s="3"/>
      <c r="K363" s="3"/>
      <c r="L363" s="3"/>
      <c r="X363" s="4"/>
      <c r="Z363" s="3"/>
      <c r="AE363" s="3"/>
      <c r="AK363" s="5"/>
    </row>
    <row r="364" spans="2:37" x14ac:dyDescent="0.25">
      <c r="B364" s="1"/>
      <c r="E364" s="2"/>
      <c r="H364" s="3"/>
      <c r="I364" s="3"/>
      <c r="K364" s="3"/>
      <c r="L364" s="3"/>
      <c r="X364" s="4"/>
      <c r="Z364" s="3"/>
      <c r="AB364" s="3"/>
      <c r="AE364" s="3"/>
      <c r="AK364" s="5"/>
    </row>
    <row r="365" spans="2:37" x14ac:dyDescent="0.25">
      <c r="B365" s="1"/>
      <c r="E365" s="2"/>
      <c r="H365" s="3"/>
      <c r="I365" s="3"/>
      <c r="K365" s="3"/>
      <c r="L365" s="3"/>
      <c r="X365" s="4"/>
      <c r="AB365" s="3"/>
      <c r="AE365" s="3"/>
      <c r="AK365" s="5"/>
    </row>
    <row r="366" spans="2:37" x14ac:dyDescent="0.25">
      <c r="B366" s="1"/>
      <c r="E366" s="2"/>
      <c r="H366" s="3"/>
      <c r="I366" s="3"/>
      <c r="K366" s="3"/>
      <c r="L366" s="3"/>
      <c r="X366" s="4"/>
      <c r="AB366" s="3"/>
      <c r="AK366" s="5"/>
    </row>
    <row r="367" spans="2:37" x14ac:dyDescent="0.25">
      <c r="B367" s="1"/>
      <c r="E367" s="2"/>
      <c r="H367" s="3"/>
      <c r="I367" s="3"/>
      <c r="K367" s="3"/>
      <c r="X367" s="4"/>
      <c r="AK367" s="5"/>
    </row>
    <row r="368" spans="2:37" x14ac:dyDescent="0.25">
      <c r="B368" s="1"/>
      <c r="E368" s="2"/>
      <c r="H368" s="3"/>
      <c r="I368" s="3"/>
      <c r="K368" s="3"/>
      <c r="X368" s="4"/>
      <c r="AK368" s="5"/>
    </row>
    <row r="369" spans="2:37" x14ac:dyDescent="0.25">
      <c r="B369" s="1"/>
      <c r="E369" s="2"/>
      <c r="H369" s="3"/>
      <c r="I369" s="3"/>
      <c r="K369" s="3"/>
      <c r="L369" s="3"/>
      <c r="X369" s="4"/>
      <c r="AB369" s="3"/>
      <c r="AE369" s="3"/>
      <c r="AK369" s="5"/>
    </row>
    <row r="370" spans="2:37" x14ac:dyDescent="0.25">
      <c r="B370" s="1"/>
      <c r="E370" s="2"/>
      <c r="H370" s="3"/>
      <c r="I370" s="3"/>
      <c r="K370" s="3"/>
      <c r="L370" s="3"/>
      <c r="X370" s="4"/>
      <c r="AB370" s="3"/>
      <c r="AK370" s="5"/>
    </row>
    <row r="371" spans="2:37" x14ac:dyDescent="0.25">
      <c r="B371" s="1"/>
      <c r="D371" s="3"/>
      <c r="E371" s="2"/>
      <c r="G371" s="3"/>
      <c r="H371" s="3"/>
      <c r="I371" s="3"/>
      <c r="K371" s="3"/>
      <c r="L371" s="3"/>
      <c r="X371" s="4"/>
      <c r="AD371" s="3"/>
      <c r="AE371" s="3"/>
      <c r="AK371" s="5"/>
    </row>
    <row r="372" spans="2:37" x14ac:dyDescent="0.25">
      <c r="B372" s="1"/>
      <c r="E372" s="2"/>
      <c r="H372" s="3"/>
      <c r="I372" s="3"/>
      <c r="K372" s="3"/>
      <c r="L372" s="3"/>
      <c r="X372" s="4"/>
      <c r="AA372" s="3"/>
      <c r="AD372" s="3"/>
      <c r="AE372" s="3"/>
      <c r="AK372" s="5"/>
    </row>
    <row r="373" spans="2:37" x14ac:dyDescent="0.25">
      <c r="B373" s="1"/>
      <c r="E373" s="2"/>
      <c r="G373" s="3"/>
      <c r="H373" s="3"/>
      <c r="I373" s="3"/>
      <c r="K373" s="3"/>
      <c r="L373" s="3"/>
      <c r="X373" s="4"/>
      <c r="AD373" s="3"/>
      <c r="AE373" s="3"/>
      <c r="AK373" s="5"/>
    </row>
    <row r="374" spans="2:37" x14ac:dyDescent="0.25">
      <c r="B374" s="1"/>
      <c r="E374" s="2"/>
      <c r="H374" s="3"/>
      <c r="I374" s="3"/>
      <c r="K374" s="3"/>
      <c r="L374" s="3"/>
      <c r="X374" s="4"/>
      <c r="AD374" s="3"/>
      <c r="AE374" s="3"/>
      <c r="AK374" s="5"/>
    </row>
    <row r="375" spans="2:37" x14ac:dyDescent="0.25">
      <c r="B375" s="1"/>
      <c r="E375" s="2"/>
      <c r="H375" s="3"/>
      <c r="I375" s="3"/>
      <c r="K375" s="3"/>
      <c r="L375" s="3"/>
      <c r="X375" s="4"/>
    </row>
    <row r="376" spans="2:37" x14ac:dyDescent="0.25">
      <c r="B376" s="3"/>
      <c r="G376" s="3"/>
    </row>
    <row r="377" spans="2:37" x14ac:dyDescent="0.25">
      <c r="B377" s="1"/>
      <c r="E377" s="2"/>
      <c r="H377" s="3"/>
      <c r="I377" s="3"/>
      <c r="K377" s="3"/>
      <c r="L377" s="3"/>
      <c r="X377" s="4"/>
      <c r="AK377" s="5"/>
    </row>
    <row r="378" spans="2:37" x14ac:dyDescent="0.25">
      <c r="B378" s="3"/>
      <c r="E378" s="2"/>
      <c r="G378" s="3"/>
      <c r="H378" s="3"/>
      <c r="I378" s="3"/>
      <c r="K378" s="3"/>
      <c r="X378" s="4"/>
      <c r="AK378" s="5"/>
    </row>
    <row r="379" spans="2:37" x14ac:dyDescent="0.25">
      <c r="B379" s="1"/>
      <c r="E379" s="2"/>
      <c r="H379" s="3"/>
      <c r="I379" s="3"/>
      <c r="K379" s="3"/>
      <c r="X379" s="4"/>
      <c r="AE379" s="3"/>
      <c r="AK379" s="5"/>
    </row>
    <row r="380" spans="2:37" x14ac:dyDescent="0.25">
      <c r="B380" s="1"/>
      <c r="E380" s="2"/>
      <c r="G380" s="3"/>
      <c r="H380" s="3"/>
      <c r="I380" s="3"/>
      <c r="K380" s="3"/>
      <c r="L380" s="3"/>
      <c r="X380" s="4"/>
      <c r="AD380" s="3"/>
      <c r="AE380" s="3"/>
      <c r="AK380" s="5"/>
    </row>
    <row r="381" spans="2:37" x14ac:dyDescent="0.25">
      <c r="B381" s="1"/>
      <c r="E381" s="2"/>
      <c r="H381" s="3"/>
      <c r="I381" s="3"/>
      <c r="K381" s="3"/>
      <c r="L381" s="3"/>
      <c r="X381" s="4"/>
      <c r="AD381" s="3"/>
      <c r="AE381" s="3"/>
      <c r="AK381" s="5"/>
    </row>
    <row r="382" spans="2:37" x14ac:dyDescent="0.25">
      <c r="B382" s="1"/>
      <c r="E382" s="2"/>
      <c r="G382" s="3"/>
      <c r="H382" s="3"/>
      <c r="I382" s="3"/>
      <c r="K382" s="3"/>
      <c r="L382" s="3"/>
      <c r="X382" s="4"/>
      <c r="AD382" s="3"/>
      <c r="AE382" s="3"/>
      <c r="AK382" s="5"/>
    </row>
    <row r="383" spans="2:37" x14ac:dyDescent="0.25">
      <c r="B383" s="1"/>
      <c r="E383" s="2"/>
      <c r="H383" s="3"/>
      <c r="I383" s="3"/>
      <c r="K383" s="3"/>
      <c r="L383" s="3"/>
      <c r="X383" s="4"/>
      <c r="AA383" s="3"/>
      <c r="AE383" s="3"/>
      <c r="AK383" s="5"/>
    </row>
    <row r="384" spans="2:37" x14ac:dyDescent="0.25">
      <c r="B384" s="1"/>
      <c r="E384" s="2"/>
      <c r="F384" s="3"/>
      <c r="G384" s="3"/>
      <c r="H384" s="3"/>
      <c r="I384" s="3"/>
      <c r="K384" s="3"/>
      <c r="L384" s="3"/>
      <c r="X384" s="4"/>
    </row>
    <row r="385" spans="2:37" x14ac:dyDescent="0.25">
      <c r="B385" s="1"/>
      <c r="C385" s="3"/>
      <c r="E385" s="2"/>
      <c r="G385" s="3"/>
      <c r="H385" s="3"/>
      <c r="I385" s="3"/>
      <c r="K385" s="3"/>
      <c r="L385" s="3"/>
      <c r="X385" s="4"/>
      <c r="AE385" s="3"/>
      <c r="AK385" s="5"/>
    </row>
    <row r="386" spans="2:37" x14ac:dyDescent="0.25">
      <c r="B386" s="1"/>
      <c r="D386" s="3"/>
      <c r="E386" s="2"/>
      <c r="G386" s="3"/>
      <c r="H386" s="3"/>
      <c r="I386" s="3"/>
      <c r="K386" s="3"/>
      <c r="X386" s="4"/>
      <c r="AE386" s="3"/>
      <c r="AK386" s="5"/>
    </row>
    <row r="387" spans="2:37" x14ac:dyDescent="0.25">
      <c r="B387" s="1"/>
      <c r="E387" s="2"/>
      <c r="G387" s="3"/>
      <c r="H387" s="3"/>
      <c r="I387" s="3"/>
      <c r="K387" s="3"/>
      <c r="L387" s="3"/>
      <c r="X387" s="4"/>
      <c r="Z387" s="3"/>
      <c r="AE387" s="3"/>
      <c r="AK387" s="5"/>
    </row>
    <row r="388" spans="2:37" x14ac:dyDescent="0.25">
      <c r="B388" s="1"/>
      <c r="E388" s="2"/>
      <c r="H388" s="3"/>
      <c r="I388" s="3"/>
      <c r="K388" s="3"/>
      <c r="L388" s="3"/>
      <c r="X388" s="4"/>
      <c r="Z388" s="3"/>
      <c r="AE388" s="3"/>
      <c r="AK388" s="5"/>
    </row>
    <row r="389" spans="2:37" x14ac:dyDescent="0.25">
      <c r="B389" s="1"/>
      <c r="E389" s="2"/>
      <c r="G389" s="3"/>
      <c r="H389" s="3"/>
      <c r="I389" s="3"/>
      <c r="K389" s="3"/>
      <c r="L389" s="3"/>
      <c r="X389" s="4"/>
      <c r="AB389" s="3"/>
      <c r="AE389" s="3"/>
      <c r="AK389" s="5"/>
    </row>
    <row r="390" spans="2:37" x14ac:dyDescent="0.25">
      <c r="B390" s="3"/>
      <c r="E390" s="2"/>
      <c r="G390" s="3"/>
      <c r="H390" s="3"/>
      <c r="I390" s="3"/>
      <c r="K390" s="3"/>
      <c r="L390" s="3"/>
      <c r="X390" s="4"/>
      <c r="AB390" s="3"/>
      <c r="AD390" s="3"/>
      <c r="AE390" s="3"/>
      <c r="AK390" s="5"/>
    </row>
    <row r="391" spans="2:37" x14ac:dyDescent="0.25">
      <c r="B391" s="1"/>
      <c r="E391" s="2"/>
      <c r="H391" s="3"/>
      <c r="I391" s="3"/>
      <c r="K391" s="3"/>
      <c r="X391" s="4"/>
      <c r="AK391" s="5"/>
    </row>
    <row r="392" spans="2:37" x14ac:dyDescent="0.25">
      <c r="B392" s="1"/>
      <c r="E392" s="2"/>
      <c r="G392" s="3"/>
      <c r="H392" s="3"/>
      <c r="I392" s="3"/>
      <c r="K392" s="3"/>
      <c r="X392" s="4"/>
    </row>
    <row r="393" spans="2:37" x14ac:dyDescent="0.25">
      <c r="B393" s="1"/>
      <c r="E393" s="2"/>
      <c r="H393" s="3"/>
      <c r="I393" s="3"/>
      <c r="K393" s="3"/>
      <c r="L393" s="3"/>
      <c r="X393" s="4"/>
      <c r="AD393" s="3"/>
      <c r="AK393" s="5"/>
    </row>
    <row r="394" spans="2:37" x14ac:dyDescent="0.25">
      <c r="B394" s="1"/>
      <c r="D394" s="3"/>
      <c r="E394" s="2"/>
      <c r="H394" s="3"/>
      <c r="I394" s="3"/>
      <c r="K394" s="3"/>
      <c r="L394" s="3"/>
      <c r="X394" s="4"/>
      <c r="Z394" s="3"/>
      <c r="AE394" s="3"/>
      <c r="AK394" s="5"/>
    </row>
    <row r="395" spans="2:37" x14ac:dyDescent="0.25">
      <c r="B395" s="1"/>
      <c r="E395" s="2"/>
      <c r="H395" s="3"/>
      <c r="I395" s="3"/>
      <c r="K395" s="3"/>
      <c r="L395" s="3"/>
      <c r="X395" s="4"/>
      <c r="Z395" s="3"/>
      <c r="AB395" s="3"/>
      <c r="AE395" s="3"/>
      <c r="AK395" s="5"/>
    </row>
    <row r="396" spans="2:37" x14ac:dyDescent="0.25">
      <c r="B396" s="1"/>
      <c r="E396" s="2"/>
      <c r="H396" s="3"/>
      <c r="I396" s="3"/>
      <c r="K396" s="3"/>
      <c r="L396" s="3"/>
      <c r="X396" s="4"/>
      <c r="Z396" s="3"/>
      <c r="AE396" s="3"/>
      <c r="AK396" s="5"/>
    </row>
    <row r="397" spans="2:37" x14ac:dyDescent="0.25">
      <c r="B397" s="1"/>
      <c r="E397" s="2"/>
      <c r="G397" s="3"/>
      <c r="H397" s="3"/>
      <c r="I397" s="3"/>
      <c r="K397" s="3"/>
      <c r="X397" s="4"/>
    </row>
    <row r="398" spans="2:37" x14ac:dyDescent="0.25">
      <c r="B398" s="1"/>
      <c r="E398" s="2"/>
      <c r="H398" s="3"/>
      <c r="I398" s="3"/>
      <c r="K398" s="3"/>
      <c r="L398" s="3"/>
      <c r="X398" s="4"/>
      <c r="AA398" s="3"/>
      <c r="AK398" s="5"/>
    </row>
    <row r="399" spans="2:37" x14ac:dyDescent="0.25">
      <c r="B399" s="1"/>
      <c r="E399" s="2"/>
      <c r="H399" s="3"/>
      <c r="I399" s="3"/>
      <c r="K399" s="3"/>
      <c r="L399" s="3"/>
      <c r="X399" s="4"/>
      <c r="Z399" s="3"/>
      <c r="AE399" s="3"/>
      <c r="AK399" s="5"/>
    </row>
    <row r="400" spans="2:37" x14ac:dyDescent="0.25">
      <c r="B400" s="1"/>
      <c r="E400" s="2"/>
      <c r="H400" s="3"/>
      <c r="I400" s="3"/>
      <c r="K400" s="3"/>
      <c r="L400" s="3"/>
      <c r="X400" s="4"/>
      <c r="AK400" s="5"/>
    </row>
    <row r="401" spans="2:37" x14ac:dyDescent="0.25">
      <c r="B401" s="1"/>
      <c r="D401" s="3"/>
      <c r="E401" s="2"/>
      <c r="X401" s="4"/>
      <c r="AK401" s="5"/>
    </row>
    <row r="402" spans="2:37" x14ac:dyDescent="0.25">
      <c r="B402" s="1"/>
      <c r="E402" s="2"/>
      <c r="H402" s="3"/>
      <c r="I402" s="3"/>
      <c r="K402" s="3"/>
      <c r="L402" s="3"/>
      <c r="X402" s="4"/>
      <c r="Z402" s="3"/>
      <c r="AE402" s="3"/>
      <c r="AK402" s="5"/>
    </row>
    <row r="403" spans="2:37" x14ac:dyDescent="0.25">
      <c r="B403" s="1"/>
      <c r="E403" s="2"/>
      <c r="H403" s="3"/>
      <c r="I403" s="3"/>
      <c r="K403" s="3"/>
      <c r="L403" s="3"/>
      <c r="X403" s="4"/>
      <c r="AB403" s="3"/>
      <c r="AD403" s="3"/>
      <c r="AE403" s="3"/>
      <c r="AK403" s="5"/>
    </row>
    <row r="404" spans="2:37" x14ac:dyDescent="0.25">
      <c r="B404" s="1"/>
      <c r="E404" s="2"/>
      <c r="H404" s="3"/>
      <c r="I404" s="3"/>
      <c r="K404" s="3"/>
      <c r="L404" s="3"/>
      <c r="X404" s="4"/>
      <c r="Z404" s="3"/>
      <c r="AB404" s="3"/>
      <c r="AE404" s="3"/>
      <c r="AK404" s="5"/>
    </row>
    <row r="405" spans="2:37" x14ac:dyDescent="0.25">
      <c r="B405" s="1"/>
      <c r="E405" s="2"/>
      <c r="H405" s="3"/>
      <c r="I405" s="3"/>
      <c r="K405" s="3"/>
      <c r="L405" s="3"/>
      <c r="X405" s="4"/>
      <c r="Z405" s="3"/>
      <c r="AB405" s="3"/>
      <c r="AD405" s="3"/>
      <c r="AE405" s="3"/>
      <c r="AK405" s="5"/>
    </row>
    <row r="406" spans="2:37" x14ac:dyDescent="0.25">
      <c r="B406" s="1"/>
      <c r="E406" s="2"/>
      <c r="H406" s="3"/>
      <c r="I406" s="3"/>
      <c r="K406" s="3"/>
      <c r="L406" s="3"/>
      <c r="X406" s="4"/>
      <c r="AB406" s="3"/>
      <c r="AE406" s="3"/>
      <c r="AK406" s="5"/>
    </row>
    <row r="407" spans="2:37" x14ac:dyDescent="0.25">
      <c r="B407" s="1"/>
      <c r="E407" s="2"/>
      <c r="H407" s="3"/>
      <c r="I407" s="3"/>
      <c r="K407" s="3"/>
      <c r="L407" s="3"/>
      <c r="X407" s="4"/>
      <c r="AD407" s="3"/>
      <c r="AE407" s="3"/>
      <c r="AK407" s="5"/>
    </row>
    <row r="408" spans="2:37" x14ac:dyDescent="0.25">
      <c r="B408" s="1"/>
      <c r="E408" s="2"/>
      <c r="F408" s="3"/>
      <c r="G408" s="3"/>
      <c r="H408" s="3"/>
      <c r="I408" s="3"/>
      <c r="K408" s="3"/>
      <c r="L408" s="3"/>
      <c r="X408" s="4"/>
      <c r="AE408" s="3"/>
      <c r="AK408" s="5"/>
    </row>
    <row r="409" spans="2:37" x14ac:dyDescent="0.25">
      <c r="B409" s="1"/>
      <c r="E409" s="2"/>
      <c r="H409" s="3"/>
      <c r="I409" s="3"/>
      <c r="K409" s="3"/>
      <c r="L409" s="3"/>
      <c r="X409" s="4"/>
      <c r="AB409" s="3"/>
      <c r="AD409" s="3"/>
      <c r="AE409" s="3"/>
      <c r="AK409" s="5"/>
    </row>
    <row r="410" spans="2:37" x14ac:dyDescent="0.25">
      <c r="B410" s="1"/>
      <c r="E410" s="2"/>
      <c r="H410" s="3"/>
      <c r="I410" s="3"/>
      <c r="K410" s="3"/>
      <c r="L410" s="3"/>
      <c r="X410" s="4"/>
      <c r="AB410" s="3"/>
      <c r="AE410" s="3"/>
      <c r="AK410" s="5"/>
    </row>
    <row r="411" spans="2:37" x14ac:dyDescent="0.25">
      <c r="B411" s="1"/>
      <c r="E411" s="2"/>
      <c r="H411" s="3"/>
      <c r="I411" s="3"/>
      <c r="K411" s="3"/>
      <c r="L411" s="3"/>
      <c r="X411" s="4"/>
      <c r="AB411" s="3"/>
      <c r="AE411" s="3"/>
      <c r="AK411" s="5"/>
    </row>
    <row r="412" spans="2:37" x14ac:dyDescent="0.25">
      <c r="B412" s="1"/>
      <c r="E412" s="2"/>
      <c r="H412" s="3"/>
      <c r="I412" s="3"/>
      <c r="K412" s="3"/>
      <c r="L412" s="3"/>
      <c r="X412" s="4"/>
      <c r="AB412" s="3"/>
      <c r="AE412" s="3"/>
      <c r="AK412" s="5"/>
    </row>
    <row r="413" spans="2:37" x14ac:dyDescent="0.25">
      <c r="B413" s="1"/>
      <c r="E413" s="2"/>
      <c r="H413" s="3"/>
      <c r="I413" s="3"/>
      <c r="K413" s="3"/>
      <c r="L413" s="3"/>
      <c r="X413" s="4"/>
      <c r="AB413" s="3"/>
      <c r="AD413" s="3"/>
      <c r="AE413" s="3"/>
      <c r="AK413" s="5"/>
    </row>
    <row r="414" spans="2:37" x14ac:dyDescent="0.25">
      <c r="B414" s="1"/>
      <c r="E414" s="2"/>
      <c r="H414" s="3"/>
      <c r="I414" s="3"/>
      <c r="K414" s="3"/>
      <c r="L414" s="3"/>
      <c r="X414" s="4"/>
      <c r="AB414" s="3"/>
      <c r="AE414" s="3"/>
      <c r="AK414" s="5"/>
    </row>
    <row r="415" spans="2:37" x14ac:dyDescent="0.25">
      <c r="B415" s="1"/>
      <c r="E415" s="2"/>
      <c r="H415" s="3"/>
      <c r="I415" s="3"/>
      <c r="K415" s="3"/>
      <c r="L415" s="3"/>
      <c r="X415" s="4"/>
      <c r="AD415" s="3"/>
      <c r="AE415" s="3"/>
      <c r="AK415" s="5"/>
    </row>
    <row r="416" spans="2:37" x14ac:dyDescent="0.25">
      <c r="B416" s="1"/>
      <c r="E416" s="2"/>
      <c r="H416" s="3"/>
      <c r="I416" s="3"/>
      <c r="K416" s="3"/>
      <c r="L416" s="3"/>
      <c r="X416" s="4"/>
      <c r="Z416" s="3"/>
      <c r="AB416" s="3"/>
      <c r="AE416" s="3"/>
      <c r="AK416" s="5"/>
    </row>
    <row r="417" spans="2:37" x14ac:dyDescent="0.25">
      <c r="B417" s="1"/>
      <c r="E417" s="2"/>
      <c r="H417" s="3"/>
      <c r="I417" s="3"/>
      <c r="K417" s="3"/>
      <c r="L417" s="3"/>
      <c r="X417" s="4"/>
      <c r="Z417" s="3"/>
      <c r="AD417" s="3"/>
      <c r="AE417" s="3"/>
      <c r="AK417" s="5"/>
    </row>
    <row r="418" spans="2:37" x14ac:dyDescent="0.25">
      <c r="B418" s="1"/>
      <c r="E418" s="2"/>
      <c r="H418" s="3"/>
      <c r="I418" s="3"/>
      <c r="K418" s="3"/>
      <c r="L418" s="3"/>
      <c r="X418" s="4"/>
      <c r="AB418" s="3"/>
      <c r="AE418" s="3"/>
      <c r="AK418" s="5"/>
    </row>
    <row r="419" spans="2:37" x14ac:dyDescent="0.25">
      <c r="B419" s="1"/>
      <c r="E419" s="2"/>
      <c r="G419" s="3"/>
      <c r="H419" s="3"/>
      <c r="I419" s="3"/>
      <c r="K419" s="3"/>
      <c r="L419" s="3"/>
      <c r="X419" s="4"/>
      <c r="AB419" s="3"/>
      <c r="AD419" s="3"/>
      <c r="AE419" s="3"/>
      <c r="AK419" s="5"/>
    </row>
    <row r="420" spans="2:37" x14ac:dyDescent="0.25">
      <c r="B420" s="1"/>
      <c r="E420" s="2"/>
      <c r="H420" s="3"/>
      <c r="I420" s="3"/>
      <c r="K420" s="3"/>
      <c r="L420" s="3"/>
      <c r="X420" s="4"/>
      <c r="AB420" s="3"/>
      <c r="AE420" s="3"/>
      <c r="AK420" s="5"/>
    </row>
    <row r="421" spans="2:37" x14ac:dyDescent="0.25">
      <c r="B421" s="1"/>
      <c r="E421" s="2"/>
      <c r="G421" s="3"/>
      <c r="H421" s="3"/>
      <c r="I421" s="3"/>
      <c r="K421" s="3"/>
      <c r="L421" s="3"/>
      <c r="X421" s="4"/>
      <c r="AD421" s="3"/>
      <c r="AE421" s="3"/>
      <c r="AK421" s="5"/>
    </row>
    <row r="422" spans="2:37" x14ac:dyDescent="0.25">
      <c r="B422" s="1"/>
      <c r="E422" s="2"/>
      <c r="H422" s="3"/>
      <c r="I422" s="3"/>
      <c r="K422" s="3"/>
      <c r="L422" s="3"/>
      <c r="X422" s="4"/>
      <c r="AB422" s="3"/>
      <c r="AE422" s="3"/>
      <c r="AK422" s="5"/>
    </row>
    <row r="423" spans="2:37" x14ac:dyDescent="0.25">
      <c r="B423" s="1"/>
      <c r="D423" s="3"/>
      <c r="E423" s="2"/>
      <c r="G423" s="3"/>
      <c r="H423" s="3"/>
      <c r="I423" s="3"/>
      <c r="K423" s="3"/>
      <c r="X423" s="4"/>
      <c r="AK423" s="5"/>
    </row>
    <row r="424" spans="2:37" x14ac:dyDescent="0.25">
      <c r="B424" s="1"/>
      <c r="E424" s="2"/>
      <c r="H424" s="3"/>
      <c r="I424" s="3"/>
      <c r="K424" s="3"/>
      <c r="L424" s="3"/>
      <c r="X424" s="4"/>
      <c r="Z424" s="3"/>
      <c r="AB424" s="3"/>
      <c r="AD424" s="3"/>
      <c r="AE424" s="3"/>
      <c r="AK424" s="5"/>
    </row>
    <row r="425" spans="2:37" x14ac:dyDescent="0.25">
      <c r="B425" s="3"/>
      <c r="E425" s="2"/>
      <c r="G425" s="3"/>
      <c r="H425" s="3"/>
      <c r="I425" s="3"/>
      <c r="K425" s="3"/>
      <c r="X425" s="4"/>
      <c r="AK425" s="5"/>
    </row>
    <row r="426" spans="2:37" x14ac:dyDescent="0.25">
      <c r="B426" s="1"/>
      <c r="E426" s="2"/>
      <c r="H426" s="3"/>
      <c r="I426" s="3"/>
      <c r="K426" s="3"/>
      <c r="L426" s="3"/>
      <c r="X426" s="4"/>
      <c r="Z426" s="3"/>
      <c r="AE426" s="3"/>
      <c r="AK426" s="5"/>
    </row>
    <row r="427" spans="2:37" x14ac:dyDescent="0.25">
      <c r="B427" s="1"/>
      <c r="E427" s="2"/>
      <c r="H427" s="3"/>
      <c r="I427" s="3"/>
      <c r="K427" s="3"/>
      <c r="X427" s="4"/>
      <c r="AK427" s="5"/>
    </row>
    <row r="428" spans="2:37" x14ac:dyDescent="0.25">
      <c r="B428" s="1"/>
      <c r="E428" s="2"/>
      <c r="H428" s="3"/>
      <c r="I428" s="3"/>
      <c r="K428" s="3"/>
      <c r="L428" s="3"/>
      <c r="X428" s="4"/>
      <c r="AK428" s="5"/>
    </row>
    <row r="429" spans="2:37" x14ac:dyDescent="0.25">
      <c r="B429" s="1"/>
      <c r="E429" s="2"/>
      <c r="G429" s="3"/>
      <c r="H429" s="3"/>
      <c r="I429" s="3"/>
      <c r="K429" s="3"/>
      <c r="X429" s="4"/>
      <c r="AK429" s="5"/>
    </row>
    <row r="430" spans="2:37" x14ac:dyDescent="0.25">
      <c r="B430" s="1"/>
      <c r="E430" s="2"/>
      <c r="H430" s="3"/>
      <c r="I430" s="3"/>
      <c r="K430" s="3"/>
      <c r="X430" s="4"/>
      <c r="AK430" s="5"/>
    </row>
    <row r="431" spans="2:37" x14ac:dyDescent="0.25">
      <c r="B431" s="1"/>
      <c r="E431" s="2"/>
      <c r="H431" s="3"/>
      <c r="I431" s="3"/>
      <c r="K431" s="3"/>
      <c r="L431" s="3"/>
      <c r="X431" s="4"/>
      <c r="Z431" s="3"/>
      <c r="AE431" s="3"/>
      <c r="AK431" s="5"/>
    </row>
    <row r="432" spans="2:37" x14ac:dyDescent="0.25">
      <c r="B432" s="1"/>
      <c r="E432" s="2"/>
      <c r="G432" s="3"/>
      <c r="H432" s="3"/>
      <c r="I432" s="3"/>
      <c r="K432" s="3"/>
      <c r="L432" s="3"/>
      <c r="X432" s="4"/>
      <c r="Z432" s="3"/>
      <c r="AE432" s="3"/>
      <c r="AK432" s="5"/>
    </row>
    <row r="433" spans="2:37" x14ac:dyDescent="0.25">
      <c r="B433" s="1"/>
      <c r="E433" s="2"/>
      <c r="H433" s="3"/>
      <c r="I433" s="3"/>
      <c r="K433" s="3"/>
      <c r="L433" s="3"/>
      <c r="X433" s="4"/>
      <c r="Z433" s="3"/>
      <c r="AE433" s="3"/>
      <c r="AK433" s="5"/>
    </row>
    <row r="434" spans="2:37" x14ac:dyDescent="0.25">
      <c r="B434" s="1"/>
      <c r="E434" s="2"/>
      <c r="F434" s="3"/>
      <c r="G434" s="3"/>
      <c r="H434" s="3"/>
      <c r="I434" s="3"/>
      <c r="K434" s="3"/>
      <c r="L434" s="3"/>
      <c r="X434" s="4"/>
      <c r="Z434" s="3"/>
      <c r="AE434" s="3"/>
      <c r="AK434" s="5"/>
    </row>
    <row r="435" spans="2:37" x14ac:dyDescent="0.25">
      <c r="B435" s="1"/>
      <c r="E435" s="2"/>
      <c r="H435" s="3"/>
      <c r="I435" s="3"/>
      <c r="K435" s="3"/>
      <c r="L435" s="3"/>
      <c r="X435" s="4"/>
      <c r="Z435" s="3"/>
      <c r="AB435" s="3"/>
      <c r="AE435" s="3"/>
      <c r="AK435" s="5"/>
    </row>
    <row r="436" spans="2:37" x14ac:dyDescent="0.25">
      <c r="B436" s="1"/>
      <c r="E436" s="2"/>
      <c r="H436" s="3"/>
      <c r="I436" s="3"/>
      <c r="K436" s="3"/>
      <c r="X436" s="4"/>
      <c r="AE436" s="3"/>
      <c r="AK436" s="5"/>
    </row>
    <row r="437" spans="2:37" x14ac:dyDescent="0.25">
      <c r="B437" s="1"/>
      <c r="E437" s="2"/>
      <c r="H437" s="3"/>
      <c r="I437" s="3"/>
      <c r="K437" s="3"/>
      <c r="X437" s="4"/>
      <c r="AE437" s="3"/>
      <c r="AK437" s="5"/>
    </row>
    <row r="438" spans="2:37" x14ac:dyDescent="0.25">
      <c r="B438" s="1"/>
      <c r="E438" s="2"/>
      <c r="G438" s="3"/>
      <c r="H438" s="3"/>
      <c r="I438" s="3"/>
      <c r="K438" s="3"/>
      <c r="L438" s="3"/>
      <c r="X438" s="4"/>
      <c r="Z438" s="3"/>
      <c r="AE438" s="3"/>
      <c r="AK438" s="5"/>
    </row>
    <row r="439" spans="2:37" x14ac:dyDescent="0.25">
      <c r="B439" s="1"/>
      <c r="E439" s="2"/>
      <c r="H439" s="3"/>
      <c r="I439" s="3"/>
      <c r="K439" s="3"/>
      <c r="L439" s="3"/>
      <c r="X439" s="4"/>
    </row>
    <row r="440" spans="2:37" x14ac:dyDescent="0.25">
      <c r="B440" s="3"/>
      <c r="G440" s="3"/>
    </row>
    <row r="441" spans="2:37" x14ac:dyDescent="0.25">
      <c r="B441" s="1"/>
      <c r="E441" s="2"/>
      <c r="H441" s="3"/>
      <c r="I441" s="3"/>
      <c r="K441" s="3"/>
      <c r="L441" s="3"/>
      <c r="X441" s="4"/>
      <c r="AE441" s="3"/>
      <c r="AK441" s="5"/>
    </row>
    <row r="442" spans="2:37" x14ac:dyDescent="0.25">
      <c r="B442" s="3"/>
      <c r="E442" s="2"/>
      <c r="F442" s="3"/>
      <c r="G442" s="3"/>
      <c r="H442" s="3"/>
      <c r="I442" s="3"/>
      <c r="K442" s="3"/>
      <c r="L442" s="3"/>
      <c r="X442" s="4"/>
    </row>
    <row r="443" spans="2:37" x14ac:dyDescent="0.25">
      <c r="B443" s="1"/>
      <c r="E443" s="2"/>
      <c r="G443" s="3"/>
      <c r="H443" s="3"/>
      <c r="I443" s="3"/>
      <c r="K443" s="3"/>
      <c r="X443" s="4"/>
    </row>
    <row r="444" spans="2:37" x14ac:dyDescent="0.25">
      <c r="B444" s="1"/>
      <c r="E444" s="2"/>
      <c r="H444" s="3"/>
      <c r="I444" s="3"/>
      <c r="K444" s="3"/>
      <c r="X444" s="4"/>
    </row>
    <row r="445" spans="2:37" x14ac:dyDescent="0.25">
      <c r="B445" s="1"/>
      <c r="E445" s="2"/>
      <c r="G445" s="3"/>
      <c r="H445" s="3"/>
      <c r="I445" s="3"/>
      <c r="K445" s="3"/>
      <c r="L445" s="3"/>
      <c r="X445" s="4"/>
      <c r="AB445" s="3"/>
      <c r="AE445" s="3"/>
      <c r="AK445" s="5"/>
    </row>
    <row r="446" spans="2:37" x14ac:dyDescent="0.25">
      <c r="B446" s="1"/>
      <c r="E446" s="2"/>
      <c r="H446" s="3"/>
      <c r="I446" s="3"/>
      <c r="K446" s="3"/>
      <c r="L446" s="3"/>
      <c r="X446" s="4"/>
      <c r="AA446" s="3"/>
      <c r="AE446" s="3"/>
      <c r="AK446" s="5"/>
    </row>
    <row r="447" spans="2:37" x14ac:dyDescent="0.25">
      <c r="B447" s="1"/>
      <c r="E447" s="2"/>
      <c r="H447" s="3"/>
      <c r="I447" s="3"/>
      <c r="K447" s="3"/>
      <c r="L447" s="3"/>
      <c r="X447" s="4"/>
      <c r="Z447" s="3"/>
      <c r="AE447" s="3"/>
      <c r="AK447" s="5"/>
    </row>
    <row r="448" spans="2:37" x14ac:dyDescent="0.25">
      <c r="B448" s="1"/>
      <c r="E448" s="2"/>
      <c r="H448" s="3"/>
      <c r="I448" s="3"/>
      <c r="K448" s="3"/>
      <c r="X448" s="4"/>
    </row>
    <row r="449" spans="2:37" x14ac:dyDescent="0.25">
      <c r="B449" s="1"/>
      <c r="E449" s="2"/>
      <c r="G449" s="3"/>
      <c r="X449" s="4"/>
    </row>
    <row r="450" spans="2:37" x14ac:dyDescent="0.25">
      <c r="B450" s="1"/>
      <c r="E450" s="2"/>
      <c r="H450" s="3"/>
      <c r="I450" s="3"/>
      <c r="K450" s="3"/>
      <c r="X450" s="4"/>
      <c r="AE450" s="3"/>
      <c r="AK450" s="5"/>
    </row>
    <row r="451" spans="2:37" x14ac:dyDescent="0.25">
      <c r="B451" s="1"/>
      <c r="E451" s="2"/>
      <c r="H451" s="3"/>
      <c r="I451" s="3"/>
      <c r="K451" s="3"/>
      <c r="L451" s="3"/>
      <c r="X451" s="4"/>
      <c r="AB451" s="3"/>
      <c r="AK451" s="5"/>
    </row>
    <row r="452" spans="2:37" x14ac:dyDescent="0.25">
      <c r="B452" s="1"/>
      <c r="E452" s="2"/>
      <c r="G452" s="3"/>
      <c r="H452" s="3"/>
      <c r="I452" s="3"/>
      <c r="K452" s="3"/>
      <c r="L452" s="3"/>
      <c r="X452" s="4"/>
      <c r="AD452" s="3"/>
      <c r="AE452" s="3"/>
      <c r="AK452" s="5"/>
    </row>
    <row r="453" spans="2:37" x14ac:dyDescent="0.25">
      <c r="B453" s="1"/>
      <c r="E453" s="2"/>
      <c r="H453" s="3"/>
      <c r="I453" s="3"/>
      <c r="K453" s="3"/>
      <c r="L453" s="3"/>
      <c r="X453" s="4"/>
      <c r="AD453" s="3"/>
      <c r="AE453" s="3"/>
      <c r="AK453" s="5"/>
    </row>
    <row r="454" spans="2:37" x14ac:dyDescent="0.25">
      <c r="B454" s="1"/>
      <c r="E454" s="2"/>
      <c r="H454" s="3"/>
      <c r="I454" s="3"/>
      <c r="K454" s="3"/>
      <c r="L454" s="3"/>
      <c r="X454" s="4"/>
      <c r="AE454" s="3"/>
      <c r="AK454" s="5"/>
    </row>
    <row r="455" spans="2:37" x14ac:dyDescent="0.25">
      <c r="B455" s="1"/>
      <c r="E455" s="2"/>
      <c r="G455" s="3"/>
      <c r="H455" s="3"/>
      <c r="I455" s="3"/>
      <c r="K455" s="3"/>
      <c r="L455" s="3"/>
      <c r="X455" s="4"/>
      <c r="AD455" s="3"/>
      <c r="AE455" s="3"/>
      <c r="AK455" s="5"/>
    </row>
    <row r="456" spans="2:37" x14ac:dyDescent="0.25">
      <c r="B456" s="1"/>
      <c r="E456" s="2"/>
      <c r="H456" s="3"/>
      <c r="I456" s="3"/>
      <c r="K456" s="3"/>
      <c r="L456" s="3"/>
      <c r="X456" s="4"/>
      <c r="AK456" s="5"/>
    </row>
    <row r="457" spans="2:37" x14ac:dyDescent="0.25">
      <c r="B457" s="3"/>
      <c r="E457" s="2"/>
      <c r="G457" s="3"/>
      <c r="H457" s="3"/>
      <c r="I457" s="3"/>
      <c r="K457" s="3"/>
      <c r="L457" s="3"/>
      <c r="X457" s="4"/>
      <c r="AD457" s="3"/>
      <c r="AE457" s="3"/>
      <c r="AK457" s="5"/>
    </row>
    <row r="458" spans="2:37" x14ac:dyDescent="0.25">
      <c r="B458" s="1"/>
      <c r="E458" s="2"/>
      <c r="H458" s="3"/>
      <c r="I458" s="3"/>
      <c r="K458" s="3"/>
      <c r="L458" s="3"/>
      <c r="X458" s="4"/>
    </row>
    <row r="459" spans="2:37" x14ac:dyDescent="0.25">
      <c r="B459" s="3"/>
      <c r="E459" s="2"/>
      <c r="G459" s="3"/>
      <c r="H459" s="3"/>
      <c r="I459" s="3"/>
      <c r="K459" s="3"/>
      <c r="L459" s="3"/>
      <c r="X459" s="4"/>
    </row>
    <row r="460" spans="2:37" x14ac:dyDescent="0.25">
      <c r="B460" s="1"/>
      <c r="E460" s="2"/>
      <c r="F460" s="3"/>
      <c r="H460" s="3"/>
      <c r="I460" s="3"/>
      <c r="K460" s="3"/>
      <c r="L460" s="3"/>
      <c r="X460" s="4"/>
      <c r="Z460" s="3"/>
      <c r="AE460" s="3"/>
      <c r="AK460" s="5"/>
    </row>
    <row r="461" spans="2:37" x14ac:dyDescent="0.25">
      <c r="B461" s="1"/>
      <c r="E461" s="2"/>
      <c r="G461" s="3"/>
      <c r="H461" s="3"/>
      <c r="I461" s="3"/>
      <c r="K461" s="3"/>
      <c r="X461" s="4"/>
    </row>
    <row r="462" spans="2:37" x14ac:dyDescent="0.25">
      <c r="B462" s="1"/>
      <c r="E462" s="2"/>
      <c r="H462" s="3"/>
      <c r="I462" s="3"/>
      <c r="K462" s="3"/>
      <c r="L462" s="3"/>
    </row>
    <row r="463" spans="2:37" x14ac:dyDescent="0.25">
      <c r="B463" s="1"/>
      <c r="E463" s="2"/>
      <c r="F463" s="3"/>
      <c r="G463" s="3"/>
      <c r="H463" s="3"/>
      <c r="I463" s="3"/>
      <c r="K463" s="3"/>
      <c r="L463" s="3"/>
      <c r="X463" s="4"/>
      <c r="Z463" s="3"/>
      <c r="AE463" s="3"/>
      <c r="AK463" s="5"/>
    </row>
    <row r="464" spans="2:37" x14ac:dyDescent="0.25">
      <c r="B464" s="1"/>
      <c r="E464" s="2"/>
      <c r="H464" s="3"/>
      <c r="I464" s="3"/>
      <c r="K464" s="3"/>
      <c r="L464" s="3"/>
      <c r="X464" s="4"/>
    </row>
    <row r="465" spans="2:37" x14ac:dyDescent="0.25">
      <c r="B465" s="3"/>
      <c r="E465" s="2"/>
      <c r="G465" s="3"/>
      <c r="H465" s="3"/>
      <c r="I465" s="3"/>
      <c r="K465" s="3"/>
      <c r="L465" s="3"/>
      <c r="X465" s="4"/>
    </row>
    <row r="466" spans="2:37" x14ac:dyDescent="0.25">
      <c r="B466" s="1"/>
      <c r="E466" s="2"/>
      <c r="F466" s="3"/>
      <c r="G466" s="3"/>
      <c r="H466" s="3"/>
      <c r="I466" s="3"/>
      <c r="K466" s="3"/>
      <c r="L466" s="3"/>
      <c r="X466" s="4"/>
      <c r="AB466" s="3"/>
      <c r="AD466" s="3"/>
      <c r="AE466" s="3"/>
      <c r="AK466" s="5"/>
    </row>
    <row r="467" spans="2:37" x14ac:dyDescent="0.25">
      <c r="B467" s="1"/>
      <c r="E467" s="2"/>
      <c r="H467" s="3"/>
      <c r="I467" s="3"/>
      <c r="K467" s="3"/>
      <c r="X467" s="4"/>
    </row>
    <row r="469" spans="2:37" x14ac:dyDescent="0.25">
      <c r="B469" s="1"/>
      <c r="E469" s="2"/>
      <c r="H469" s="3"/>
      <c r="I469" s="3"/>
      <c r="K469" s="3"/>
      <c r="L469" s="3"/>
      <c r="X469" s="4"/>
      <c r="Z469" s="3"/>
      <c r="AE469" s="3"/>
      <c r="AK469" s="5"/>
    </row>
    <row r="470" spans="2:37" x14ac:dyDescent="0.25">
      <c r="B470" s="3"/>
      <c r="E470" s="2"/>
      <c r="G470" s="3"/>
      <c r="H470" s="3"/>
      <c r="I470" s="3"/>
      <c r="K470" s="3"/>
      <c r="L470" s="3"/>
      <c r="X470" s="4"/>
      <c r="AB470" s="3"/>
      <c r="AK470" s="5"/>
    </row>
    <row r="471" spans="2:37" x14ac:dyDescent="0.25">
      <c r="B471" s="1"/>
      <c r="E471" s="2"/>
      <c r="H471" s="3"/>
      <c r="I471" s="3"/>
      <c r="K471" s="3"/>
      <c r="L471" s="3"/>
      <c r="X471" s="4"/>
      <c r="Z471" s="3"/>
      <c r="AE471" s="3"/>
      <c r="AK471" s="5"/>
    </row>
    <row r="472" spans="2:37" x14ac:dyDescent="0.25">
      <c r="B472" s="1"/>
      <c r="E472" s="2"/>
      <c r="G472" s="3"/>
      <c r="H472" s="3"/>
      <c r="I472" s="3"/>
      <c r="K472" s="3"/>
      <c r="X472" s="4"/>
      <c r="AK472" s="5"/>
    </row>
    <row r="473" spans="2:37" x14ac:dyDescent="0.25">
      <c r="B473" s="1"/>
      <c r="E473" s="2"/>
      <c r="H473" s="3"/>
      <c r="I473" s="3"/>
      <c r="K473" s="3"/>
      <c r="L473" s="3"/>
      <c r="X473" s="4"/>
      <c r="Z473" s="3"/>
      <c r="AB473" s="3"/>
      <c r="AE473" s="3"/>
      <c r="AK473" s="5"/>
    </row>
    <row r="474" spans="2:37" x14ac:dyDescent="0.25">
      <c r="B474" s="1"/>
      <c r="E474" s="2"/>
      <c r="G474" s="3"/>
      <c r="H474" s="3"/>
      <c r="I474" s="3"/>
      <c r="K474" s="3"/>
      <c r="L474" s="3"/>
      <c r="X474" s="4"/>
      <c r="AA474" s="3"/>
      <c r="AB474" s="3"/>
      <c r="AE474" s="3"/>
      <c r="AK474" s="5"/>
    </row>
    <row r="475" spans="2:37" x14ac:dyDescent="0.25">
      <c r="B475" s="1"/>
      <c r="E475" s="2"/>
      <c r="H475" s="3"/>
      <c r="I475" s="3"/>
      <c r="K475" s="3"/>
      <c r="L475" s="3"/>
      <c r="X475" s="4"/>
      <c r="AB475" s="3"/>
      <c r="AK475" s="5"/>
    </row>
    <row r="476" spans="2:37" x14ac:dyDescent="0.25">
      <c r="B476" s="1"/>
      <c r="E476" s="2"/>
      <c r="H476" s="3"/>
      <c r="I476" s="3"/>
      <c r="K476" s="3"/>
      <c r="L476" s="3"/>
      <c r="X476" s="4"/>
      <c r="AB476" s="3"/>
      <c r="AE476" s="3"/>
      <c r="AK476" s="5"/>
    </row>
    <row r="477" spans="2:37" x14ac:dyDescent="0.25">
      <c r="B477" s="1"/>
      <c r="E477" s="2"/>
      <c r="H477" s="3"/>
      <c r="I477" s="3"/>
      <c r="K477" s="3"/>
      <c r="L477" s="3"/>
      <c r="X477" s="4"/>
      <c r="Z477" s="3"/>
      <c r="AB477" s="3"/>
      <c r="AE477" s="3"/>
      <c r="AK477" s="5"/>
    </row>
    <row r="478" spans="2:37" x14ac:dyDescent="0.25">
      <c r="B478" s="1"/>
      <c r="E478" s="2"/>
      <c r="H478" s="3"/>
      <c r="I478" s="3"/>
      <c r="K478" s="3"/>
      <c r="L478" s="3"/>
      <c r="X478" s="4"/>
      <c r="AB478" s="3"/>
      <c r="AE478" s="3"/>
      <c r="AK478" s="5"/>
    </row>
    <row r="479" spans="2:37" x14ac:dyDescent="0.25">
      <c r="B479" s="1"/>
      <c r="E479" s="2"/>
      <c r="H479" s="3"/>
      <c r="I479" s="3"/>
      <c r="K479" s="3"/>
      <c r="L479" s="3"/>
      <c r="X479" s="4"/>
      <c r="AB479" s="3"/>
      <c r="AE479" s="3"/>
      <c r="AK479" s="5"/>
    </row>
    <row r="480" spans="2:37" x14ac:dyDescent="0.25">
      <c r="B480" s="1"/>
      <c r="E480" s="2"/>
      <c r="H480" s="3"/>
      <c r="I480" s="3"/>
      <c r="K480" s="3"/>
      <c r="L480" s="3"/>
      <c r="X480" s="4"/>
      <c r="AA480" s="3"/>
      <c r="AE480" s="3"/>
      <c r="AK480" s="5"/>
    </row>
    <row r="481" spans="2:37" x14ac:dyDescent="0.25">
      <c r="B481" s="1"/>
      <c r="E481" s="2"/>
      <c r="G481" s="3"/>
      <c r="H481" s="3"/>
      <c r="I481" s="3"/>
      <c r="K481" s="3"/>
      <c r="L481" s="3"/>
      <c r="X481" s="4"/>
      <c r="AB481" s="3"/>
      <c r="AD481" s="3"/>
      <c r="AE481" s="3"/>
      <c r="AK481" s="5"/>
    </row>
    <row r="482" spans="2:37" x14ac:dyDescent="0.25">
      <c r="B482" s="1"/>
      <c r="E482" s="2"/>
      <c r="H482" s="3"/>
      <c r="I482" s="3"/>
      <c r="K482" s="3"/>
      <c r="L482" s="3"/>
      <c r="X482" s="4"/>
      <c r="AB482" s="3"/>
      <c r="AK482" s="5"/>
    </row>
    <row r="483" spans="2:37" x14ac:dyDescent="0.25">
      <c r="B483" s="1"/>
      <c r="E483" s="2"/>
      <c r="G483" s="3"/>
      <c r="H483" s="3"/>
      <c r="I483" s="3"/>
      <c r="K483" s="3"/>
      <c r="L483" s="3"/>
      <c r="X483" s="4"/>
      <c r="AB483" s="3"/>
      <c r="AD483" s="3"/>
      <c r="AE483" s="3"/>
      <c r="AK483" s="5"/>
    </row>
    <row r="484" spans="2:37" x14ac:dyDescent="0.25">
      <c r="B484" s="1"/>
      <c r="E484" s="2"/>
      <c r="F484" s="3"/>
      <c r="G484" s="3"/>
      <c r="H484" s="3"/>
      <c r="I484" s="3"/>
      <c r="K484" s="3"/>
      <c r="L484" s="3"/>
      <c r="X484" s="4"/>
    </row>
    <row r="485" spans="2:37" x14ac:dyDescent="0.25">
      <c r="B485" s="1"/>
      <c r="E485" s="2"/>
      <c r="G485" s="3"/>
      <c r="H485" s="3"/>
      <c r="I485" s="3"/>
      <c r="K485" s="3"/>
      <c r="L485" s="3"/>
      <c r="X485" s="4"/>
      <c r="AB485" s="3"/>
      <c r="AK485" s="5"/>
    </row>
    <row r="486" spans="2:37" x14ac:dyDescent="0.25">
      <c r="B486" s="1"/>
      <c r="E486" s="2"/>
      <c r="G486" s="3"/>
      <c r="H486" s="3"/>
      <c r="I486" s="3"/>
      <c r="K486" s="3"/>
      <c r="L486" s="3"/>
      <c r="X486" s="4"/>
      <c r="Z486" s="3"/>
      <c r="AE486" s="3"/>
      <c r="AK486" s="5"/>
    </row>
    <row r="487" spans="2:37" x14ac:dyDescent="0.25">
      <c r="B487" s="1"/>
      <c r="E487" s="2"/>
      <c r="F487" s="3"/>
      <c r="G487" s="3"/>
      <c r="H487" s="3"/>
      <c r="I487" s="3"/>
      <c r="K487" s="3"/>
      <c r="L487" s="3"/>
      <c r="X487" s="4"/>
      <c r="AE487" s="3"/>
      <c r="AK487" s="5"/>
    </row>
    <row r="488" spans="2:37" x14ac:dyDescent="0.25">
      <c r="B488" s="1"/>
      <c r="E488" s="2"/>
      <c r="G488" s="3"/>
      <c r="H488" s="3"/>
      <c r="I488" s="3"/>
      <c r="K488" s="3"/>
      <c r="X488" s="4"/>
      <c r="AK488" s="5"/>
    </row>
    <row r="489" spans="2:37" x14ac:dyDescent="0.25">
      <c r="B489" s="1"/>
      <c r="E489" s="2"/>
      <c r="H489" s="3"/>
      <c r="I489" s="3"/>
      <c r="K489" s="3"/>
      <c r="L489" s="3"/>
      <c r="X489" s="4"/>
      <c r="AK489" s="5"/>
    </row>
    <row r="490" spans="2:37" x14ac:dyDescent="0.25">
      <c r="B490" s="1"/>
      <c r="E490" s="2"/>
      <c r="G490" s="3"/>
      <c r="H490" s="3"/>
      <c r="I490" s="3"/>
      <c r="K490" s="3"/>
      <c r="L490" s="3"/>
      <c r="X490" s="4"/>
    </row>
    <row r="491" spans="2:37" x14ac:dyDescent="0.25">
      <c r="B491" s="1"/>
      <c r="E491" s="2"/>
      <c r="G491" s="3"/>
      <c r="H491" s="3"/>
      <c r="I491" s="3"/>
      <c r="K491" s="3"/>
      <c r="L491" s="3"/>
      <c r="X491" s="4"/>
    </row>
    <row r="492" spans="2:37" x14ac:dyDescent="0.25">
      <c r="B492" s="1"/>
      <c r="E492" s="2"/>
      <c r="F492" s="3"/>
      <c r="G492" s="3"/>
      <c r="H492" s="3"/>
      <c r="I492" s="3"/>
      <c r="K492" s="3"/>
      <c r="X492" s="4"/>
      <c r="AK492" s="5"/>
    </row>
    <row r="493" spans="2:37" x14ac:dyDescent="0.25">
      <c r="B493" s="1"/>
      <c r="E493" s="2"/>
      <c r="H493" s="3"/>
      <c r="I493" s="3"/>
      <c r="K493" s="3"/>
      <c r="L493" s="3"/>
      <c r="X493" s="4"/>
      <c r="Z493" s="3"/>
      <c r="AB493" s="3"/>
      <c r="AE493" s="3"/>
      <c r="AK493" s="5"/>
    </row>
    <row r="494" spans="2:37" x14ac:dyDescent="0.25">
      <c r="B494" s="1"/>
      <c r="E494" s="2"/>
      <c r="H494" s="3"/>
      <c r="I494" s="3"/>
      <c r="K494" s="3"/>
      <c r="L494" s="3"/>
      <c r="X494" s="4"/>
      <c r="AE494" s="3"/>
      <c r="AK494" s="5"/>
    </row>
    <row r="495" spans="2:37" x14ac:dyDescent="0.25">
      <c r="B495" s="1"/>
      <c r="D495" s="3"/>
      <c r="E495" s="2"/>
      <c r="H495" s="3"/>
      <c r="I495" s="3"/>
      <c r="K495" s="3"/>
      <c r="L495" s="3"/>
      <c r="X495" s="4"/>
      <c r="AE495" s="3"/>
      <c r="AK495" s="5"/>
    </row>
    <row r="496" spans="2:37" x14ac:dyDescent="0.25">
      <c r="B496" s="1"/>
      <c r="E496" s="2"/>
      <c r="F496" s="3"/>
      <c r="G496" s="3"/>
      <c r="H496" s="3"/>
      <c r="I496" s="3"/>
      <c r="K496" s="3"/>
      <c r="X496" s="4"/>
      <c r="AK496" s="5"/>
    </row>
    <row r="497" spans="2:37" x14ac:dyDescent="0.25">
      <c r="B497" s="1"/>
      <c r="E497" s="2"/>
      <c r="H497" s="3"/>
      <c r="I497" s="3"/>
      <c r="K497" s="3"/>
      <c r="L497" s="3"/>
      <c r="X497" s="4"/>
      <c r="AD497" s="3"/>
      <c r="AE497" s="3"/>
      <c r="AK497" s="5"/>
    </row>
    <row r="498" spans="2:37" x14ac:dyDescent="0.25">
      <c r="B498" s="1"/>
      <c r="E498" s="2"/>
      <c r="G498" s="3"/>
      <c r="H498" s="3"/>
      <c r="I498" s="3"/>
      <c r="K498" s="3"/>
      <c r="L498" s="3"/>
      <c r="X498" s="4"/>
      <c r="AD498" s="3"/>
      <c r="AE498" s="3"/>
      <c r="AK498" s="5"/>
    </row>
    <row r="499" spans="2:37" x14ac:dyDescent="0.25">
      <c r="B499" s="1"/>
      <c r="E499" s="2"/>
      <c r="H499" s="3"/>
      <c r="I499" s="3"/>
      <c r="K499" s="3"/>
      <c r="L499" s="3"/>
      <c r="X499" s="4"/>
      <c r="AD499" s="3"/>
      <c r="AE499" s="3"/>
      <c r="AK499" s="5"/>
    </row>
    <row r="500" spans="2:37" x14ac:dyDescent="0.25">
      <c r="B500" s="1"/>
      <c r="E500" s="2"/>
      <c r="G500" s="3"/>
      <c r="H500" s="3"/>
      <c r="I500" s="3"/>
      <c r="K500" s="3"/>
      <c r="L500" s="3"/>
      <c r="X500" s="4"/>
      <c r="AB500" s="3"/>
      <c r="AE500" s="3"/>
      <c r="AK500" s="5"/>
    </row>
    <row r="501" spans="2:37" x14ac:dyDescent="0.25">
      <c r="B501" s="1"/>
      <c r="E501" s="2"/>
      <c r="H501" s="3"/>
      <c r="I501" s="3"/>
      <c r="K501" s="3"/>
      <c r="L501" s="3"/>
      <c r="X501" s="4"/>
      <c r="Z501" s="3"/>
      <c r="AE501" s="3"/>
      <c r="AK501" s="5"/>
    </row>
    <row r="502" spans="2:37" x14ac:dyDescent="0.25">
      <c r="B502" s="1"/>
      <c r="D502" s="3"/>
      <c r="E502" s="2"/>
      <c r="G502" s="3"/>
      <c r="H502" s="3"/>
      <c r="I502" s="3"/>
      <c r="K502" s="3"/>
      <c r="X502" s="4"/>
      <c r="AE502" s="3"/>
      <c r="AK502" s="5"/>
    </row>
    <row r="503" spans="2:37" x14ac:dyDescent="0.25">
      <c r="B503" s="1"/>
      <c r="E503" s="2"/>
      <c r="H503" s="3"/>
      <c r="I503" s="3"/>
      <c r="K503" s="3"/>
      <c r="X503" s="4"/>
      <c r="AE503" s="3"/>
      <c r="AK503" s="5"/>
    </row>
    <row r="504" spans="2:37" x14ac:dyDescent="0.25">
      <c r="B504" s="1"/>
      <c r="E504" s="2"/>
      <c r="H504" s="3"/>
      <c r="I504" s="3"/>
      <c r="K504" s="3"/>
      <c r="L504" s="3"/>
      <c r="X504" s="4"/>
      <c r="AK504" s="5"/>
    </row>
    <row r="505" spans="2:37" x14ac:dyDescent="0.25">
      <c r="B505" s="1"/>
      <c r="E505" s="2"/>
      <c r="F505" s="3"/>
      <c r="G505" s="3"/>
      <c r="H505" s="3"/>
      <c r="I505" s="3"/>
      <c r="K505" s="3"/>
      <c r="X505" s="4"/>
      <c r="AK505" s="5"/>
    </row>
    <row r="506" spans="2:37" x14ac:dyDescent="0.25">
      <c r="B506" s="1"/>
      <c r="E506" s="2"/>
      <c r="H506" s="3"/>
      <c r="I506" s="3"/>
      <c r="K506" s="3"/>
      <c r="L506" s="3"/>
      <c r="X506" s="4"/>
      <c r="Z506" s="3"/>
      <c r="AE506" s="3"/>
      <c r="AK506" s="5"/>
    </row>
    <row r="507" spans="2:37" x14ac:dyDescent="0.25">
      <c r="B507" s="1"/>
      <c r="E507" s="2"/>
      <c r="H507" s="3"/>
      <c r="I507" s="3"/>
      <c r="K507" s="3"/>
      <c r="L507" s="3"/>
      <c r="X507" s="4"/>
      <c r="AE507" s="3"/>
      <c r="AK507" s="5"/>
    </row>
    <row r="508" spans="2:37" x14ac:dyDescent="0.25">
      <c r="B508" s="1"/>
      <c r="D508" s="3"/>
      <c r="E508" s="2"/>
      <c r="G508" s="3"/>
      <c r="H508" s="3"/>
      <c r="I508" s="3"/>
      <c r="K508" s="3"/>
      <c r="L508" s="3"/>
      <c r="X508" s="4"/>
      <c r="Z508" s="3"/>
      <c r="AB508" s="3"/>
      <c r="AE508" s="3"/>
      <c r="AK508" s="5"/>
    </row>
    <row r="509" spans="2:37" x14ac:dyDescent="0.25">
      <c r="B509" s="1"/>
      <c r="E509" s="2"/>
      <c r="H509" s="3"/>
      <c r="I509" s="3"/>
      <c r="K509" s="3"/>
      <c r="X509" s="4"/>
      <c r="AK509" s="5"/>
    </row>
    <row r="510" spans="2:37" x14ac:dyDescent="0.25">
      <c r="B510" s="1"/>
      <c r="E510" s="2"/>
      <c r="G510" s="3"/>
      <c r="H510" s="3"/>
      <c r="I510" s="3"/>
      <c r="K510" s="3"/>
      <c r="L510" s="3"/>
      <c r="X510" s="4"/>
      <c r="AB510" s="3"/>
      <c r="AE510" s="3"/>
      <c r="AK510" s="5"/>
    </row>
    <row r="511" spans="2:37" x14ac:dyDescent="0.25">
      <c r="B511" s="1"/>
      <c r="E511" s="2"/>
      <c r="H511" s="3"/>
      <c r="I511" s="3"/>
      <c r="K511" s="3"/>
      <c r="L511" s="3"/>
      <c r="X511" s="4"/>
      <c r="AK511" s="5"/>
    </row>
    <row r="512" spans="2:37" x14ac:dyDescent="0.25">
      <c r="B512" s="1"/>
      <c r="D512" s="3"/>
      <c r="E512" s="2"/>
      <c r="G512" s="3"/>
      <c r="H512" s="3"/>
      <c r="I512" s="3"/>
      <c r="K512" s="3"/>
      <c r="L512" s="3"/>
      <c r="X512" s="4"/>
      <c r="AK512" s="5"/>
    </row>
    <row r="513" spans="2:37" x14ac:dyDescent="0.25">
      <c r="B513" s="1"/>
      <c r="E513" s="2"/>
      <c r="G513" s="3"/>
      <c r="H513" s="3"/>
      <c r="I513" s="3"/>
      <c r="K513" s="3"/>
      <c r="L513" s="3"/>
      <c r="X513" s="4"/>
      <c r="AK513" s="5"/>
    </row>
    <row r="514" spans="2:37" x14ac:dyDescent="0.25">
      <c r="B514" s="1"/>
      <c r="D514" s="3"/>
      <c r="E514" s="2"/>
      <c r="G514" s="3"/>
      <c r="H514" s="3"/>
      <c r="I514" s="3"/>
      <c r="K514" s="3"/>
      <c r="X514" s="4"/>
      <c r="AK514" s="5"/>
    </row>
    <row r="515" spans="2:37" x14ac:dyDescent="0.25">
      <c r="B515" s="1"/>
      <c r="E515" s="2"/>
      <c r="H515" s="3"/>
      <c r="I515" s="3"/>
      <c r="K515" s="3"/>
      <c r="L515" s="3"/>
      <c r="X515" s="4"/>
      <c r="Z515" s="3"/>
      <c r="AD515" s="3"/>
      <c r="AE515" s="3"/>
      <c r="AK515" s="5"/>
    </row>
    <row r="516" spans="2:37" x14ac:dyDescent="0.25">
      <c r="B516" s="1"/>
      <c r="E516" s="2"/>
      <c r="H516" s="3"/>
      <c r="I516" s="3"/>
      <c r="K516" s="3"/>
      <c r="L516" s="3"/>
      <c r="X516" s="4"/>
      <c r="AD516" s="3"/>
      <c r="AE516" s="3"/>
      <c r="AK516" s="5"/>
    </row>
    <row r="517" spans="2:37" x14ac:dyDescent="0.25">
      <c r="B517" s="1"/>
      <c r="D517" s="3"/>
      <c r="E517" s="2"/>
      <c r="G517" s="3"/>
      <c r="H517" s="3"/>
      <c r="I517" s="3"/>
      <c r="K517" s="3"/>
      <c r="L517" s="3"/>
      <c r="X517" s="4"/>
    </row>
    <row r="518" spans="2:37" x14ac:dyDescent="0.25">
      <c r="B518" s="1"/>
      <c r="E518" s="2"/>
      <c r="G518" s="3"/>
      <c r="H518" s="3"/>
      <c r="I518" s="3"/>
      <c r="K518" s="3"/>
      <c r="L518" s="3"/>
      <c r="X518" s="4"/>
      <c r="Z518" s="3"/>
      <c r="AB518" s="3"/>
      <c r="AE518" s="3"/>
      <c r="AK518" s="5"/>
    </row>
    <row r="519" spans="2:37" x14ac:dyDescent="0.25">
      <c r="B519" s="1"/>
      <c r="E519" s="2"/>
      <c r="H519" s="3"/>
      <c r="I519" s="3"/>
      <c r="K519" s="3"/>
      <c r="L519" s="3"/>
      <c r="X519" s="4"/>
      <c r="Z519" s="3"/>
      <c r="AE519" s="3"/>
      <c r="AK519" s="5"/>
    </row>
    <row r="520" spans="2:37" x14ac:dyDescent="0.25">
      <c r="B520" s="1"/>
      <c r="E520" s="2"/>
      <c r="H520" s="3"/>
      <c r="I520" s="3"/>
      <c r="K520" s="3"/>
      <c r="L520" s="3"/>
      <c r="X520" s="4"/>
    </row>
    <row r="521" spans="2:37" x14ac:dyDescent="0.25">
      <c r="B521" s="1"/>
      <c r="D521" s="3"/>
      <c r="E521" s="2"/>
      <c r="H521" s="3"/>
      <c r="I521" s="3"/>
      <c r="K521" s="3"/>
      <c r="X521" s="4"/>
    </row>
    <row r="522" spans="2:37" x14ac:dyDescent="0.25">
      <c r="B522" s="1"/>
      <c r="E522" s="2"/>
      <c r="G522" s="3"/>
      <c r="H522" s="3"/>
      <c r="I522" s="3"/>
      <c r="K522" s="3"/>
      <c r="L522" s="3"/>
      <c r="X522" s="4"/>
    </row>
    <row r="523" spans="2:37" x14ac:dyDescent="0.25">
      <c r="B523" s="1"/>
      <c r="E523" s="2"/>
      <c r="F523" s="3"/>
      <c r="G523" s="3"/>
      <c r="H523" s="3"/>
      <c r="I523" s="3"/>
      <c r="K523" s="3"/>
      <c r="L523" s="3"/>
      <c r="X523" s="4"/>
    </row>
    <row r="524" spans="2:37" x14ac:dyDescent="0.25">
      <c r="B524" s="3"/>
      <c r="E524" s="2"/>
      <c r="G524" s="3"/>
      <c r="H524" s="3"/>
      <c r="I524" s="3"/>
      <c r="K524" s="3"/>
      <c r="L524" s="3"/>
      <c r="X524" s="4"/>
      <c r="Z524" s="3"/>
      <c r="AE524" s="3"/>
      <c r="AK524" s="5"/>
    </row>
    <row r="525" spans="2:37" x14ac:dyDescent="0.25">
      <c r="B525" s="1"/>
      <c r="E525" s="2"/>
      <c r="H525" s="3"/>
      <c r="I525" s="3"/>
      <c r="K525" s="3"/>
      <c r="L525" s="3"/>
      <c r="X525" s="4"/>
      <c r="AK525" s="5"/>
    </row>
    <row r="526" spans="2:37" x14ac:dyDescent="0.25">
      <c r="B526" s="3"/>
      <c r="E526" s="2"/>
      <c r="G526" s="3"/>
      <c r="H526" s="3"/>
      <c r="I526" s="3"/>
      <c r="K526" s="3"/>
      <c r="L526" s="3"/>
      <c r="X526" s="4"/>
    </row>
    <row r="527" spans="2:37" x14ac:dyDescent="0.25">
      <c r="B527" s="1"/>
      <c r="E527" s="2"/>
      <c r="G527" s="3"/>
      <c r="H527" s="3"/>
      <c r="I527" s="3"/>
      <c r="K527" s="3"/>
      <c r="L527" s="3"/>
      <c r="X527" s="4"/>
      <c r="AB527" s="3"/>
      <c r="AE527" s="3"/>
      <c r="AK527" s="5"/>
    </row>
    <row r="528" spans="2:37" x14ac:dyDescent="0.25">
      <c r="B528" s="1"/>
      <c r="E528" s="2"/>
      <c r="G528" s="3"/>
      <c r="H528" s="3"/>
      <c r="I528" s="3"/>
      <c r="K528" s="3"/>
      <c r="L528" s="3"/>
      <c r="X528" s="4"/>
    </row>
    <row r="529" spans="2:37" x14ac:dyDescent="0.25">
      <c r="B529" s="3"/>
      <c r="E529" s="2"/>
      <c r="G529" s="3"/>
      <c r="H529" s="3"/>
      <c r="I529" s="3"/>
      <c r="K529" s="3"/>
      <c r="L529" s="3"/>
      <c r="X529" s="4"/>
    </row>
    <row r="530" spans="2:37" x14ac:dyDescent="0.25">
      <c r="B530" s="1"/>
      <c r="E530" s="2"/>
      <c r="G530" s="3"/>
      <c r="H530" s="3"/>
      <c r="I530" s="3"/>
      <c r="K530" s="3"/>
      <c r="L530" s="3"/>
      <c r="X530" s="4"/>
    </row>
    <row r="531" spans="2:37" x14ac:dyDescent="0.25">
      <c r="B531" s="3"/>
      <c r="E531" s="2"/>
      <c r="G531" s="3"/>
      <c r="H531" s="3"/>
      <c r="I531" s="3"/>
      <c r="K531" s="3"/>
      <c r="L531" s="3"/>
      <c r="X531" s="4"/>
    </row>
    <row r="532" spans="2:37" x14ac:dyDescent="0.25">
      <c r="B532" s="1"/>
      <c r="D532" s="3"/>
      <c r="E532" s="2"/>
      <c r="G532" s="3"/>
      <c r="H532" s="3"/>
      <c r="I532" s="3"/>
      <c r="K532" s="3"/>
      <c r="L532" s="3"/>
      <c r="X532" s="4"/>
      <c r="Z532" s="3"/>
      <c r="AE532" s="3"/>
      <c r="AK532" s="5"/>
    </row>
    <row r="533" spans="2:37" x14ac:dyDescent="0.25">
      <c r="B533" s="1"/>
      <c r="D533" s="3"/>
      <c r="E533" s="2"/>
      <c r="G533" s="3"/>
      <c r="H533" s="3"/>
      <c r="I533" s="3"/>
      <c r="K533" s="3"/>
      <c r="L533" s="3"/>
      <c r="X533" s="4"/>
    </row>
    <row r="534" spans="2:37" x14ac:dyDescent="0.25">
      <c r="B534" s="3"/>
      <c r="E534" s="2"/>
      <c r="G534" s="3"/>
      <c r="X534" s="4"/>
    </row>
    <row r="535" spans="2:37" x14ac:dyDescent="0.25">
      <c r="B535" s="1"/>
      <c r="E535" s="2"/>
      <c r="G535" s="3"/>
      <c r="H535" s="3"/>
      <c r="I535" s="3"/>
      <c r="K535" s="3"/>
      <c r="L535" s="3"/>
      <c r="X535" s="4"/>
      <c r="AE535" s="3"/>
      <c r="AK535" s="5"/>
    </row>
    <row r="536" spans="2:37" x14ac:dyDescent="0.25">
      <c r="B536" s="1"/>
      <c r="E536" s="2"/>
      <c r="H536" s="3"/>
      <c r="I536" s="3"/>
      <c r="K536" s="3"/>
      <c r="L536" s="3"/>
      <c r="X536" s="4"/>
      <c r="Z536" s="3"/>
      <c r="AD536" s="3"/>
      <c r="AE536" s="3"/>
      <c r="AK536" s="5"/>
    </row>
    <row r="537" spans="2:37" x14ac:dyDescent="0.25">
      <c r="B537" s="1"/>
      <c r="E537" s="2"/>
      <c r="H537" s="3"/>
      <c r="I537" s="3"/>
      <c r="K537" s="3"/>
      <c r="L537" s="3"/>
      <c r="X537" s="4"/>
      <c r="Z537" s="3"/>
      <c r="AE537" s="3"/>
      <c r="AK537" s="5"/>
    </row>
    <row r="538" spans="2:37" x14ac:dyDescent="0.25">
      <c r="B538" s="1"/>
      <c r="E538" s="2"/>
      <c r="H538" s="3"/>
      <c r="I538" s="3"/>
      <c r="K538" s="3"/>
      <c r="L538" s="3"/>
      <c r="X538" s="4"/>
      <c r="Z538" s="3"/>
      <c r="AE538" s="3"/>
      <c r="AK538" s="5"/>
    </row>
    <row r="539" spans="2:37" x14ac:dyDescent="0.25">
      <c r="B539" s="1"/>
      <c r="E539" s="2"/>
      <c r="H539" s="3"/>
      <c r="I539" s="3"/>
      <c r="K539" s="3"/>
      <c r="L539" s="3"/>
      <c r="X539" s="4"/>
    </row>
    <row r="540" spans="2:37" x14ac:dyDescent="0.25">
      <c r="B540" s="1"/>
      <c r="D540" s="3"/>
      <c r="E540" s="2"/>
      <c r="F540" s="3"/>
      <c r="G540" s="3"/>
      <c r="X540" s="4"/>
    </row>
    <row r="541" spans="2:37" x14ac:dyDescent="0.25">
      <c r="B541" s="1"/>
      <c r="E541" s="2"/>
      <c r="H541" s="3"/>
      <c r="I541" s="3"/>
      <c r="K541" s="3"/>
      <c r="L541" s="3"/>
      <c r="X541" s="4"/>
    </row>
    <row r="542" spans="2:37" x14ac:dyDescent="0.25">
      <c r="B542" s="1"/>
      <c r="D542" s="3"/>
      <c r="E542" s="2"/>
      <c r="F542" s="3"/>
      <c r="G542" s="3"/>
      <c r="H542" s="3"/>
      <c r="I542" s="3"/>
      <c r="K542" s="3"/>
      <c r="X542" s="4"/>
    </row>
    <row r="543" spans="2:37" x14ac:dyDescent="0.25">
      <c r="B543" s="1"/>
      <c r="E543" s="2"/>
      <c r="G543" s="3"/>
      <c r="H543" s="3"/>
      <c r="I543" s="3"/>
      <c r="K543" s="3"/>
      <c r="L543" s="3"/>
      <c r="X543" s="4"/>
    </row>
    <row r="544" spans="2:37" x14ac:dyDescent="0.25">
      <c r="B544" s="1"/>
      <c r="E544" s="2"/>
      <c r="G544" s="3"/>
      <c r="H544" s="3"/>
      <c r="I544" s="3"/>
      <c r="K544" s="3"/>
      <c r="X544" s="4"/>
    </row>
    <row r="545" spans="2:37" x14ac:dyDescent="0.25">
      <c r="B545" s="1"/>
      <c r="E545" s="2"/>
      <c r="G545" s="3"/>
      <c r="H545" s="3"/>
      <c r="I545" s="3"/>
      <c r="K545" s="3"/>
      <c r="L545" s="3"/>
      <c r="X545" s="4"/>
    </row>
    <row r="546" spans="2:37" x14ac:dyDescent="0.25">
      <c r="B546" s="1"/>
      <c r="E546" s="2"/>
      <c r="F546" s="3"/>
      <c r="G546" s="3"/>
      <c r="H546" s="3"/>
      <c r="I546" s="3"/>
      <c r="K546" s="3"/>
      <c r="L546" s="3"/>
      <c r="X546" s="4"/>
    </row>
    <row r="547" spans="2:37" x14ac:dyDescent="0.25">
      <c r="B547" s="1"/>
      <c r="E547" s="2"/>
      <c r="F547" s="3"/>
      <c r="G547" s="3"/>
      <c r="H547" s="3"/>
      <c r="I547" s="3"/>
      <c r="K547" s="3"/>
      <c r="L547" s="3"/>
      <c r="X547" s="4"/>
      <c r="AK547" s="5"/>
    </row>
    <row r="548" spans="2:37" x14ac:dyDescent="0.25">
      <c r="B548" s="1"/>
      <c r="E548" s="2"/>
      <c r="F548" s="3"/>
      <c r="H548" s="3"/>
      <c r="I548" s="3"/>
      <c r="K548" s="3"/>
      <c r="L548" s="3"/>
      <c r="X548" s="4"/>
      <c r="Z548" s="3"/>
      <c r="AE548" s="3"/>
      <c r="AK548" s="5"/>
    </row>
    <row r="549" spans="2:37" x14ac:dyDescent="0.25">
      <c r="B549" s="1"/>
      <c r="E549" s="2"/>
      <c r="G549" s="3"/>
      <c r="H549" s="3"/>
      <c r="I549" s="3"/>
      <c r="K549" s="3"/>
      <c r="L549" s="3"/>
      <c r="X549" s="4"/>
      <c r="AB549" s="3"/>
      <c r="AD549" s="3"/>
      <c r="AE549" s="3"/>
      <c r="AK549" s="5"/>
    </row>
    <row r="550" spans="2:37" x14ac:dyDescent="0.25">
      <c r="B550" s="1"/>
      <c r="E550" s="2"/>
      <c r="H550" s="3"/>
      <c r="I550" s="3"/>
      <c r="K550" s="3"/>
      <c r="L550" s="3"/>
      <c r="X550" s="4"/>
      <c r="AB550" s="3"/>
      <c r="AE550" s="3"/>
      <c r="AK550" s="5"/>
    </row>
    <row r="551" spans="2:37" x14ac:dyDescent="0.25">
      <c r="B551" s="1"/>
      <c r="E551" s="2"/>
      <c r="G551" s="3"/>
      <c r="H551" s="3"/>
      <c r="I551" s="3"/>
      <c r="K551" s="3"/>
      <c r="L551" s="3"/>
      <c r="X551" s="4"/>
      <c r="AK551" s="5"/>
    </row>
    <row r="552" spans="2:37" x14ac:dyDescent="0.25">
      <c r="B552" s="1"/>
      <c r="E552" s="2"/>
      <c r="G552" s="3"/>
      <c r="H552" s="3"/>
      <c r="I552" s="3"/>
      <c r="K552" s="3"/>
      <c r="L552" s="3"/>
      <c r="X552" s="4"/>
      <c r="AB552" s="3"/>
      <c r="AE552" s="3"/>
      <c r="AK552" s="5"/>
    </row>
    <row r="553" spans="2:37" x14ac:dyDescent="0.25">
      <c r="B553" s="1"/>
      <c r="E553" s="2"/>
      <c r="G553" s="3"/>
      <c r="H553" s="3"/>
      <c r="I553" s="3"/>
      <c r="K553" s="3"/>
      <c r="L553" s="3"/>
      <c r="X553" s="4"/>
      <c r="AB553" s="3"/>
      <c r="AE553" s="3"/>
      <c r="AK553" s="5"/>
    </row>
    <row r="554" spans="2:37" x14ac:dyDescent="0.25">
      <c r="B554" s="1"/>
      <c r="E554" s="2"/>
      <c r="G554" s="3"/>
      <c r="H554" s="3"/>
      <c r="I554" s="3"/>
      <c r="K554" s="3"/>
      <c r="L554" s="3"/>
      <c r="X554" s="4"/>
      <c r="Z554" s="3"/>
      <c r="AE554" s="3"/>
      <c r="AK554" s="5"/>
    </row>
    <row r="555" spans="2:37" x14ac:dyDescent="0.25">
      <c r="B555" s="1"/>
      <c r="E555" s="2"/>
      <c r="F555" s="3"/>
      <c r="G555" s="3"/>
      <c r="H555" s="3"/>
      <c r="I555" s="3"/>
      <c r="K555" s="3"/>
      <c r="L555" s="3"/>
      <c r="X555" s="4"/>
      <c r="Z555" s="3"/>
      <c r="AB555" s="3"/>
      <c r="AE555" s="3"/>
      <c r="AK555" s="5"/>
    </row>
    <row r="556" spans="2:37" x14ac:dyDescent="0.25">
      <c r="B556" s="1"/>
      <c r="E556" s="2"/>
      <c r="G556" s="3"/>
      <c r="H556" s="3"/>
      <c r="I556" s="3"/>
      <c r="K556" s="3"/>
      <c r="L556" s="3"/>
      <c r="X556" s="4"/>
      <c r="AK556" s="5"/>
    </row>
    <row r="557" spans="2:37" x14ac:dyDescent="0.25">
      <c r="B557" s="1"/>
      <c r="E557" s="2"/>
      <c r="F557" s="3"/>
      <c r="G557" s="3"/>
      <c r="H557" s="3"/>
      <c r="I557" s="3"/>
      <c r="K557" s="3"/>
      <c r="L557" s="3"/>
      <c r="X557" s="4"/>
      <c r="Z557" s="3"/>
      <c r="AE557" s="3"/>
      <c r="AK557" s="5"/>
    </row>
    <row r="558" spans="2:37" x14ac:dyDescent="0.25">
      <c r="B558" s="1"/>
      <c r="E558" s="2"/>
      <c r="H558" s="3"/>
      <c r="I558" s="3"/>
      <c r="K558" s="3"/>
      <c r="L558" s="3"/>
      <c r="X558" s="4"/>
      <c r="Z558" s="3"/>
      <c r="AB558" s="3"/>
      <c r="AE558" s="3"/>
      <c r="AK558" s="5"/>
    </row>
    <row r="559" spans="2:37" x14ac:dyDescent="0.25">
      <c r="B559" s="1"/>
      <c r="E559" s="2"/>
      <c r="F559" s="3"/>
      <c r="G559" s="3"/>
      <c r="H559" s="3"/>
      <c r="I559" s="3"/>
      <c r="K559" s="3"/>
      <c r="X559" s="4"/>
      <c r="AE559" s="3"/>
      <c r="AK559" s="5"/>
    </row>
    <row r="560" spans="2:37" x14ac:dyDescent="0.25">
      <c r="B560" s="1"/>
      <c r="E560" s="2"/>
      <c r="H560" s="3"/>
      <c r="I560" s="3"/>
      <c r="K560" s="3"/>
      <c r="L560" s="3"/>
      <c r="X560" s="4"/>
      <c r="AD560" s="3"/>
      <c r="AE560" s="3"/>
      <c r="AK560" s="5"/>
    </row>
    <row r="561" spans="2:37" x14ac:dyDescent="0.25">
      <c r="B561" s="1"/>
      <c r="E561" s="2"/>
      <c r="F561" s="3"/>
      <c r="G561" s="3"/>
      <c r="H561" s="3"/>
      <c r="I561" s="3"/>
      <c r="K561" s="3"/>
      <c r="L561" s="3"/>
      <c r="X561" s="4"/>
      <c r="AB561" s="3"/>
      <c r="AK561" s="5"/>
    </row>
    <row r="562" spans="2:37" x14ac:dyDescent="0.25">
      <c r="B562" s="1"/>
      <c r="E562" s="2"/>
      <c r="G562" s="3"/>
      <c r="H562" s="3"/>
      <c r="I562" s="3"/>
      <c r="K562" s="3"/>
      <c r="L562" s="3"/>
      <c r="X562" s="4"/>
      <c r="AD562" s="3"/>
      <c r="AE562" s="3"/>
      <c r="AK562" s="5"/>
    </row>
    <row r="563" spans="2:37" x14ac:dyDescent="0.25">
      <c r="B563" s="1"/>
      <c r="E563" s="2"/>
      <c r="F563" s="3"/>
      <c r="G563" s="3"/>
      <c r="H563" s="3"/>
      <c r="I563" s="3"/>
      <c r="K563" s="3"/>
      <c r="L563" s="3"/>
      <c r="X563" s="4"/>
      <c r="AE563" s="3"/>
      <c r="AK563" s="5"/>
    </row>
    <row r="564" spans="2:37" x14ac:dyDescent="0.25">
      <c r="B564" s="3"/>
      <c r="E564" s="2"/>
      <c r="G564" s="3"/>
      <c r="H564" s="3"/>
      <c r="I564" s="3"/>
      <c r="K564" s="3"/>
      <c r="L564" s="3"/>
      <c r="X564" s="4"/>
    </row>
    <row r="565" spans="2:37" x14ac:dyDescent="0.25">
      <c r="B565" s="1"/>
      <c r="E565" s="2"/>
      <c r="F565" s="3"/>
      <c r="G565" s="3"/>
      <c r="H565" s="3"/>
      <c r="I565" s="3"/>
      <c r="K565" s="3"/>
      <c r="L565" s="3"/>
      <c r="X565" s="4"/>
      <c r="AD565" s="3"/>
      <c r="AE565" s="3"/>
      <c r="AK565" s="5"/>
    </row>
    <row r="566" spans="2:37" x14ac:dyDescent="0.25">
      <c r="B566" s="1"/>
      <c r="E566" s="2"/>
      <c r="H566" s="3"/>
      <c r="I566" s="3"/>
      <c r="K566" s="3"/>
      <c r="L566" s="3"/>
      <c r="X566" s="4"/>
      <c r="AD566" s="3"/>
      <c r="AE566" s="3"/>
      <c r="AK566" s="5"/>
    </row>
    <row r="567" spans="2:37" x14ac:dyDescent="0.25">
      <c r="B567" s="1"/>
      <c r="E567" s="2"/>
      <c r="F567" s="3"/>
      <c r="G567" s="3"/>
      <c r="H567" s="3"/>
      <c r="I567" s="3"/>
      <c r="K567" s="3"/>
    </row>
    <row r="568" spans="2:37" x14ac:dyDescent="0.25">
      <c r="B568" s="1"/>
      <c r="E568" s="2"/>
      <c r="G568" s="3"/>
      <c r="H568" s="3"/>
      <c r="I568" s="3"/>
      <c r="K568" s="3"/>
      <c r="L568" s="3"/>
      <c r="X568" s="4"/>
    </row>
    <row r="569" spans="2:37" x14ac:dyDescent="0.25">
      <c r="B569" s="3"/>
      <c r="E569" s="2"/>
      <c r="F569" s="3"/>
      <c r="G569" s="3"/>
      <c r="H569" s="3"/>
      <c r="I569" s="3"/>
      <c r="K569" s="3"/>
      <c r="L569" s="3"/>
      <c r="X569" s="4"/>
      <c r="Z569" s="3"/>
      <c r="AE569" s="3"/>
      <c r="AK569" s="5"/>
    </row>
    <row r="570" spans="2:37" x14ac:dyDescent="0.25">
      <c r="B570" s="1"/>
      <c r="E570" s="2"/>
      <c r="H570" s="3"/>
      <c r="I570" s="3"/>
      <c r="K570" s="3"/>
      <c r="L570" s="3"/>
      <c r="X570" s="4"/>
      <c r="AB570" s="3"/>
      <c r="AK570" s="5"/>
    </row>
    <row r="571" spans="2:37" x14ac:dyDescent="0.25">
      <c r="B571" s="1"/>
      <c r="E571" s="2"/>
      <c r="F571" s="3"/>
      <c r="G571" s="3"/>
      <c r="H571" s="3"/>
      <c r="I571" s="3"/>
      <c r="K571" s="3"/>
      <c r="L571" s="3"/>
      <c r="X571" s="4"/>
      <c r="AB571" s="3"/>
      <c r="AK571" s="5"/>
    </row>
    <row r="572" spans="2:37" x14ac:dyDescent="0.25">
      <c r="B572" s="1"/>
      <c r="E572" s="2"/>
      <c r="H572" s="3"/>
      <c r="I572" s="3"/>
      <c r="K572" s="3"/>
      <c r="L572" s="3"/>
      <c r="X572" s="4"/>
      <c r="AB572" s="3"/>
      <c r="AK572" s="5"/>
    </row>
    <row r="573" spans="2:37" x14ac:dyDescent="0.25">
      <c r="B573" s="1"/>
      <c r="E573" s="2"/>
      <c r="G573" s="3"/>
      <c r="H573" s="3"/>
      <c r="I573" s="3"/>
      <c r="K573" s="3"/>
      <c r="L573" s="3"/>
      <c r="X573" s="4"/>
      <c r="AB573" s="3"/>
      <c r="AK573" s="5"/>
    </row>
    <row r="574" spans="2:37" x14ac:dyDescent="0.25">
      <c r="B574" s="1"/>
      <c r="E574" s="2"/>
      <c r="H574" s="3"/>
      <c r="I574" s="3"/>
      <c r="K574" s="3"/>
      <c r="L574" s="3"/>
      <c r="X574" s="4"/>
    </row>
    <row r="575" spans="2:37" x14ac:dyDescent="0.25">
      <c r="B575" s="3"/>
      <c r="G575" s="3"/>
    </row>
    <row r="576" spans="2:37" x14ac:dyDescent="0.25">
      <c r="B576" s="1"/>
      <c r="E576" s="2"/>
      <c r="H576" s="3"/>
      <c r="I576" s="3"/>
      <c r="K576" s="3"/>
      <c r="L576" s="3"/>
      <c r="X576" s="4"/>
      <c r="AB576" s="3"/>
      <c r="AE576" s="3"/>
      <c r="AK576" s="5"/>
    </row>
    <row r="577" spans="2:37" x14ac:dyDescent="0.25">
      <c r="B577" s="1"/>
      <c r="E577" s="2"/>
      <c r="H577" s="3"/>
      <c r="I577" s="3"/>
      <c r="K577" s="3"/>
      <c r="X577" s="4"/>
    </row>
    <row r="578" spans="2:37" x14ac:dyDescent="0.25">
      <c r="B578" s="1"/>
      <c r="E578" s="2"/>
      <c r="H578" s="3"/>
      <c r="I578" s="3"/>
      <c r="K578" s="3"/>
      <c r="X578" s="4"/>
    </row>
    <row r="579" spans="2:37" x14ac:dyDescent="0.25">
      <c r="B579" s="1"/>
      <c r="E579" s="2"/>
      <c r="H579" s="3"/>
      <c r="I579" s="3"/>
      <c r="K579" s="3"/>
      <c r="X579" s="4"/>
      <c r="AE579" s="3"/>
      <c r="AK579" s="5"/>
    </row>
    <row r="580" spans="2:37" x14ac:dyDescent="0.25">
      <c r="B580" s="1"/>
      <c r="E580" s="2"/>
      <c r="H580" s="3"/>
      <c r="I580" s="3"/>
      <c r="K580" s="3"/>
      <c r="L580" s="3"/>
      <c r="X580" s="4"/>
    </row>
    <row r="581" spans="2:37" x14ac:dyDescent="0.25">
      <c r="F581" s="3"/>
      <c r="G581" s="3"/>
    </row>
    <row r="582" spans="2:37" x14ac:dyDescent="0.25">
      <c r="B582" s="1"/>
      <c r="E582" s="2"/>
      <c r="H582" s="3"/>
      <c r="I582" s="3"/>
      <c r="K582" s="3"/>
      <c r="L582" s="3"/>
      <c r="X582" s="4"/>
    </row>
    <row r="583" spans="2:37" x14ac:dyDescent="0.25">
      <c r="B583" s="3"/>
      <c r="D583" s="3"/>
      <c r="F583" s="3"/>
      <c r="G583" s="3"/>
    </row>
    <row r="584" spans="2:37" x14ac:dyDescent="0.25">
      <c r="B584" s="1"/>
      <c r="E584" s="2"/>
      <c r="H584" s="3"/>
      <c r="I584" s="3"/>
      <c r="K584" s="3"/>
      <c r="L584" s="3"/>
      <c r="X584" s="4"/>
      <c r="AD584" s="3"/>
      <c r="AE584" s="3"/>
      <c r="AK584" s="5"/>
    </row>
    <row r="585" spans="2:37" x14ac:dyDescent="0.25">
      <c r="B585" s="3"/>
      <c r="E585" s="2"/>
      <c r="G585" s="3"/>
      <c r="X585" s="4"/>
    </row>
    <row r="586" spans="2:37" x14ac:dyDescent="0.25">
      <c r="B586" s="1"/>
      <c r="E586" s="2"/>
      <c r="H586" s="3"/>
      <c r="I586" s="3"/>
      <c r="K586" s="3"/>
      <c r="L586" s="3"/>
      <c r="X586" s="4"/>
      <c r="Z586" s="3"/>
      <c r="AB586" s="3"/>
      <c r="AE586" s="3"/>
      <c r="AK586" s="5"/>
    </row>
    <row r="587" spans="2:37" x14ac:dyDescent="0.25">
      <c r="B587" s="1"/>
      <c r="E587" s="2"/>
      <c r="H587" s="3"/>
      <c r="I587" s="3"/>
      <c r="K587" s="3"/>
      <c r="L587" s="3"/>
      <c r="X587" s="4"/>
      <c r="Z587" s="3"/>
      <c r="AE587" s="3"/>
      <c r="AK587" s="5"/>
    </row>
    <row r="588" spans="2:37" x14ac:dyDescent="0.25">
      <c r="B588" s="1"/>
      <c r="E588" s="2"/>
      <c r="G588" s="3"/>
      <c r="H588" s="3"/>
      <c r="I588" s="3"/>
      <c r="K588" s="3"/>
      <c r="X588" s="4"/>
      <c r="AK588" s="5"/>
    </row>
    <row r="589" spans="2:37" x14ac:dyDescent="0.25">
      <c r="B589" s="1"/>
      <c r="E589" s="2"/>
      <c r="H589" s="3"/>
      <c r="I589" s="3"/>
      <c r="K589" s="3"/>
      <c r="L589" s="3"/>
      <c r="X589" s="4"/>
      <c r="Z589" s="3"/>
      <c r="AE589" s="3"/>
      <c r="AK589" s="5"/>
    </row>
    <row r="590" spans="2:37" x14ac:dyDescent="0.25">
      <c r="B590" s="3"/>
      <c r="D590" s="3"/>
      <c r="E590" s="2"/>
      <c r="G590" s="3"/>
      <c r="H590" s="3"/>
      <c r="I590" s="3"/>
      <c r="K590" s="3"/>
      <c r="L590" s="3"/>
      <c r="X590" s="4"/>
    </row>
    <row r="591" spans="2:37" x14ac:dyDescent="0.25">
      <c r="B591" s="1"/>
      <c r="E591" s="2"/>
      <c r="G591" s="3"/>
      <c r="H591" s="3"/>
      <c r="I591" s="3"/>
      <c r="K591" s="3"/>
      <c r="L591" s="3"/>
      <c r="X591" s="4"/>
      <c r="Z591" s="3"/>
      <c r="AK591" s="5"/>
    </row>
    <row r="592" spans="2:37" x14ac:dyDescent="0.25">
      <c r="B592" s="1"/>
      <c r="E592" s="2"/>
      <c r="H592" s="3"/>
      <c r="I592" s="3"/>
      <c r="K592" s="3"/>
      <c r="L592" s="3"/>
      <c r="X592" s="4"/>
      <c r="AK592" s="5"/>
    </row>
    <row r="593" spans="2:37" x14ac:dyDescent="0.25">
      <c r="B593" s="1"/>
      <c r="E593" s="2"/>
      <c r="G593" s="3"/>
      <c r="H593" s="3"/>
      <c r="I593" s="3"/>
      <c r="K593" s="3"/>
      <c r="L593" s="3"/>
      <c r="X593" s="4"/>
    </row>
    <row r="594" spans="2:37" x14ac:dyDescent="0.25">
      <c r="B594" s="3"/>
      <c r="E594" s="2"/>
      <c r="G594" s="3"/>
      <c r="H594" s="3"/>
      <c r="I594" s="3"/>
      <c r="K594" s="3"/>
      <c r="L594" s="3"/>
      <c r="X594" s="4"/>
      <c r="AE594" s="3"/>
      <c r="AK594" s="5"/>
    </row>
    <row r="595" spans="2:37" x14ac:dyDescent="0.25">
      <c r="B595" s="1"/>
      <c r="E595" s="2"/>
      <c r="G595" s="3"/>
      <c r="H595" s="3"/>
      <c r="I595" s="3"/>
      <c r="K595" s="3"/>
      <c r="X595" s="4"/>
      <c r="AK595" s="5"/>
    </row>
    <row r="596" spans="2:37" x14ac:dyDescent="0.25">
      <c r="B596" s="1"/>
      <c r="E596" s="2"/>
      <c r="H596" s="3"/>
      <c r="I596" s="3"/>
      <c r="K596" s="3"/>
      <c r="L596" s="3"/>
      <c r="X596" s="4"/>
      <c r="AD596" s="3"/>
      <c r="AE596" s="3"/>
      <c r="AK596" s="5"/>
    </row>
    <row r="597" spans="2:37" x14ac:dyDescent="0.25">
      <c r="B597" s="1"/>
      <c r="E597" s="2"/>
      <c r="G597" s="3"/>
      <c r="H597" s="3"/>
      <c r="I597" s="3"/>
      <c r="K597" s="3"/>
      <c r="L597" s="3"/>
      <c r="X597" s="4"/>
      <c r="Z597" s="3"/>
      <c r="AE597" s="3"/>
      <c r="AK597" s="5"/>
    </row>
    <row r="598" spans="2:37" x14ac:dyDescent="0.25">
      <c r="B598" s="1"/>
      <c r="E598" s="2"/>
      <c r="G598" s="3"/>
      <c r="H598" s="3"/>
      <c r="I598" s="3"/>
      <c r="K598" s="3"/>
      <c r="L598" s="3"/>
      <c r="X598" s="4"/>
    </row>
    <row r="599" spans="2:37" x14ac:dyDescent="0.25">
      <c r="B599" s="1"/>
      <c r="E599" s="2"/>
      <c r="G599" s="3"/>
      <c r="H599" s="3"/>
      <c r="I599" s="3"/>
      <c r="K599" s="3"/>
      <c r="L599" s="3"/>
      <c r="X599" s="4"/>
      <c r="AB599" s="3"/>
      <c r="AK599" s="5"/>
    </row>
    <row r="600" spans="2:37" x14ac:dyDescent="0.25">
      <c r="B600" s="1"/>
      <c r="E600" s="2"/>
      <c r="H600" s="3"/>
      <c r="I600" s="3"/>
      <c r="K600" s="3"/>
      <c r="L600" s="3"/>
      <c r="X600" s="4"/>
    </row>
    <row r="601" spans="2:37" x14ac:dyDescent="0.25">
      <c r="B601" s="3"/>
      <c r="D601" s="3"/>
      <c r="G601" s="3"/>
    </row>
    <row r="602" spans="2:37" x14ac:dyDescent="0.25">
      <c r="B602" s="1"/>
      <c r="E602" s="2"/>
      <c r="H602" s="3"/>
      <c r="I602" s="3"/>
      <c r="K602" s="3"/>
      <c r="L602" s="3"/>
      <c r="X602" s="4"/>
      <c r="AE602" s="3"/>
      <c r="AK602" s="5"/>
    </row>
    <row r="603" spans="2:37" x14ac:dyDescent="0.25">
      <c r="B603" s="3"/>
      <c r="E603" s="2"/>
      <c r="G603" s="3"/>
      <c r="H603" s="3"/>
      <c r="I603" s="3"/>
      <c r="K603" s="3"/>
      <c r="L603" s="3"/>
      <c r="X603" s="4"/>
      <c r="Z603" s="3"/>
      <c r="AB603" s="3"/>
      <c r="AE603" s="3"/>
      <c r="AK603" s="5"/>
    </row>
    <row r="604" spans="2:37" x14ac:dyDescent="0.25">
      <c r="B604" s="1"/>
      <c r="E604" s="2"/>
      <c r="H604" s="3"/>
      <c r="I604" s="3"/>
      <c r="K604" s="3"/>
      <c r="L604" s="3"/>
      <c r="X604" s="4"/>
      <c r="AD604" s="3"/>
      <c r="AE604" s="3"/>
      <c r="AK604" s="5"/>
    </row>
    <row r="605" spans="2:37" x14ac:dyDescent="0.25">
      <c r="B605" s="1"/>
      <c r="E605" s="2"/>
      <c r="G605" s="3"/>
      <c r="H605" s="3"/>
      <c r="I605" s="3"/>
      <c r="K605" s="3"/>
      <c r="X605" s="4"/>
      <c r="AE605" s="3"/>
      <c r="AK605" s="5"/>
    </row>
    <row r="606" spans="2:37" x14ac:dyDescent="0.25">
      <c r="B606" s="1"/>
      <c r="E606" s="2"/>
      <c r="F606" s="3"/>
      <c r="G606" s="3"/>
      <c r="H606" s="3"/>
      <c r="I606" s="3"/>
      <c r="K606" s="3"/>
      <c r="L606" s="3"/>
      <c r="X606" s="4"/>
      <c r="AD606" s="3"/>
      <c r="AE606" s="3"/>
      <c r="AK606" s="5"/>
    </row>
    <row r="607" spans="2:37" x14ac:dyDescent="0.25">
      <c r="B607" s="1"/>
      <c r="E607" s="2"/>
      <c r="G607" s="3"/>
      <c r="H607" s="3"/>
      <c r="I607" s="3"/>
      <c r="K607" s="3"/>
      <c r="X607" s="4"/>
      <c r="AK607" s="5"/>
    </row>
    <row r="608" spans="2:37" x14ac:dyDescent="0.25">
      <c r="B608" s="1"/>
      <c r="E608" s="2"/>
      <c r="H608" s="3"/>
      <c r="I608" s="3"/>
      <c r="K608" s="3"/>
      <c r="L608" s="3"/>
      <c r="X608" s="4"/>
      <c r="AD608" s="3"/>
      <c r="AE608" s="3"/>
      <c r="AK608" s="5"/>
    </row>
    <row r="609" spans="2:37" x14ac:dyDescent="0.25">
      <c r="B609" s="1"/>
      <c r="E609" s="2"/>
      <c r="G609" s="3"/>
      <c r="H609" s="3"/>
      <c r="I609" s="3"/>
      <c r="K609" s="3"/>
      <c r="L609" s="3"/>
      <c r="X609" s="4"/>
      <c r="Z609" s="3"/>
      <c r="AE609" s="3"/>
      <c r="AK609" s="5"/>
    </row>
    <row r="610" spans="2:37" x14ac:dyDescent="0.25">
      <c r="B610" s="1"/>
      <c r="D610" s="3"/>
      <c r="E610" s="2"/>
      <c r="H610" s="3"/>
      <c r="I610" s="3"/>
      <c r="K610" s="3"/>
      <c r="X610" s="4"/>
    </row>
    <row r="611" spans="2:37" x14ac:dyDescent="0.25">
      <c r="B611" s="1"/>
      <c r="E611" s="2"/>
      <c r="G611" s="3"/>
      <c r="H611" s="3"/>
      <c r="I611" s="3"/>
      <c r="K611" s="3"/>
      <c r="X611" s="4"/>
    </row>
    <row r="612" spans="2:37" x14ac:dyDescent="0.25">
      <c r="B612" s="1"/>
      <c r="E612" s="2"/>
      <c r="H612" s="3"/>
      <c r="I612" s="3"/>
      <c r="K612" s="3"/>
      <c r="X612" s="4"/>
    </row>
    <row r="613" spans="2:37" x14ac:dyDescent="0.25">
      <c r="B613" s="1"/>
      <c r="E613" s="2"/>
      <c r="H613" s="3"/>
      <c r="I613" s="3"/>
      <c r="K613" s="3"/>
      <c r="X613" s="4"/>
    </row>
    <row r="614" spans="2:37" x14ac:dyDescent="0.25">
      <c r="B614" s="1"/>
      <c r="E614" s="2"/>
      <c r="G614" s="3"/>
      <c r="H614" s="3"/>
      <c r="I614" s="3"/>
      <c r="K614" s="3"/>
      <c r="L614" s="3"/>
      <c r="X614" s="4"/>
      <c r="AD614" s="3"/>
      <c r="AE614" s="3"/>
      <c r="AK614" s="5"/>
    </row>
    <row r="615" spans="2:37" x14ac:dyDescent="0.25">
      <c r="B615" s="1"/>
      <c r="E615" s="2"/>
      <c r="G615" s="3"/>
      <c r="H615" s="3"/>
      <c r="I615" s="3"/>
      <c r="K615" s="3"/>
      <c r="X615" s="4"/>
    </row>
    <row r="616" spans="2:37" x14ac:dyDescent="0.25">
      <c r="B616" s="1"/>
      <c r="E616" s="2"/>
      <c r="G616" s="3"/>
      <c r="H616" s="3"/>
      <c r="I616" s="3"/>
      <c r="K616" s="3"/>
      <c r="L616" s="3"/>
      <c r="X616" s="4"/>
    </row>
    <row r="617" spans="2:37" x14ac:dyDescent="0.25">
      <c r="B617" s="1"/>
      <c r="E617" s="2"/>
      <c r="G617" s="3"/>
      <c r="H617" s="3"/>
      <c r="I617" s="3"/>
      <c r="K617" s="3"/>
      <c r="L617" s="3"/>
      <c r="X617" s="4"/>
      <c r="AD617" s="3"/>
      <c r="AE617" s="3"/>
      <c r="AK617" s="5"/>
    </row>
    <row r="618" spans="2:37" x14ac:dyDescent="0.25">
      <c r="B618" s="1"/>
      <c r="E618" s="2"/>
      <c r="G618" s="3"/>
      <c r="H618" s="3"/>
      <c r="I618" s="3"/>
      <c r="K618" s="3"/>
      <c r="L618" s="3"/>
      <c r="X618" s="4"/>
    </row>
    <row r="619" spans="2:37" x14ac:dyDescent="0.25">
      <c r="B619" s="3"/>
      <c r="E619" s="2"/>
      <c r="G619" s="3"/>
      <c r="H619" s="3"/>
      <c r="I619" s="3"/>
      <c r="K619" s="3"/>
    </row>
    <row r="620" spans="2:37" x14ac:dyDescent="0.25">
      <c r="B620" s="1"/>
      <c r="E620" s="2"/>
      <c r="H620" s="3"/>
      <c r="I620" s="3"/>
      <c r="K620" s="3"/>
      <c r="L620" s="3"/>
      <c r="X620" s="4"/>
      <c r="Z620" s="3"/>
      <c r="AE620" s="3"/>
      <c r="AK620" s="5"/>
    </row>
    <row r="621" spans="2:37" x14ac:dyDescent="0.25">
      <c r="B621" s="1"/>
      <c r="E621" s="2"/>
      <c r="H621" s="3"/>
      <c r="I621" s="3"/>
      <c r="K621" s="3"/>
      <c r="L621" s="3"/>
      <c r="X621" s="4"/>
      <c r="Z621" s="3"/>
      <c r="AE621" s="3"/>
      <c r="AK621" s="5"/>
    </row>
    <row r="622" spans="2:37" x14ac:dyDescent="0.25">
      <c r="B622" s="1"/>
      <c r="E622" s="2"/>
      <c r="H622" s="3"/>
      <c r="I622" s="3"/>
      <c r="K622" s="3"/>
      <c r="L622" s="3"/>
      <c r="X622" s="4"/>
      <c r="Z622" s="3"/>
      <c r="AB622" s="3"/>
      <c r="AE622" s="3"/>
      <c r="AK622" s="5"/>
    </row>
    <row r="623" spans="2:37" x14ac:dyDescent="0.25">
      <c r="B623" s="1"/>
      <c r="E623" s="2"/>
      <c r="H623" s="3"/>
      <c r="I623" s="3"/>
      <c r="K623" s="3"/>
      <c r="L623" s="3"/>
      <c r="X623" s="4"/>
      <c r="Z623" s="3"/>
      <c r="AE623" s="3"/>
      <c r="AK623" s="5"/>
    </row>
    <row r="624" spans="2:37" x14ac:dyDescent="0.25">
      <c r="B624" s="1"/>
      <c r="E624" s="2"/>
      <c r="H624" s="3"/>
      <c r="I624" s="3"/>
      <c r="K624" s="3"/>
      <c r="L624" s="3"/>
      <c r="X624" s="4"/>
      <c r="Z624" s="3"/>
      <c r="AE624" s="3"/>
      <c r="AK624" s="5"/>
    </row>
    <row r="625" spans="2:37" x14ac:dyDescent="0.25">
      <c r="B625" s="1"/>
      <c r="E625" s="2"/>
      <c r="H625" s="3"/>
      <c r="I625" s="3"/>
      <c r="K625" s="3"/>
      <c r="X625" s="4"/>
      <c r="AE625" s="3"/>
      <c r="AK625" s="5"/>
    </row>
    <row r="626" spans="2:37" x14ac:dyDescent="0.25">
      <c r="B626" s="1"/>
      <c r="E626" s="2"/>
      <c r="H626" s="3"/>
      <c r="I626" s="3"/>
      <c r="K626" s="3"/>
      <c r="L626" s="3"/>
      <c r="X626" s="4"/>
      <c r="AB626" s="3"/>
      <c r="AD626" s="3"/>
      <c r="AE626" s="3"/>
      <c r="AK626" s="5"/>
    </row>
    <row r="627" spans="2:37" x14ac:dyDescent="0.25">
      <c r="B627" s="1"/>
      <c r="D627" s="3"/>
      <c r="E627" s="2"/>
      <c r="G627" s="3"/>
      <c r="H627" s="3"/>
      <c r="I627" s="3"/>
      <c r="K627" s="3"/>
      <c r="L627" s="3"/>
      <c r="X627" s="4"/>
      <c r="AD627" s="3"/>
      <c r="AE627" s="3"/>
      <c r="AK627" s="5"/>
    </row>
    <row r="628" spans="2:37" x14ac:dyDescent="0.25">
      <c r="B628" s="1"/>
      <c r="E628" s="2"/>
      <c r="H628" s="3"/>
      <c r="I628" s="3"/>
      <c r="K628" s="3"/>
      <c r="L628" s="3"/>
      <c r="X628" s="4"/>
      <c r="Z628" s="3"/>
      <c r="AE628" s="3"/>
      <c r="AK628" s="5"/>
    </row>
    <row r="629" spans="2:37" x14ac:dyDescent="0.25">
      <c r="B629" s="1"/>
      <c r="D629" s="3"/>
      <c r="E629" s="2"/>
      <c r="G629" s="3"/>
      <c r="H629" s="3"/>
      <c r="I629" s="3"/>
      <c r="K629" s="3"/>
      <c r="X629" s="4"/>
    </row>
    <row r="630" spans="2:37" x14ac:dyDescent="0.25">
      <c r="B630" s="1"/>
      <c r="E630" s="2"/>
      <c r="H630" s="3"/>
      <c r="I630" s="3"/>
      <c r="K630" s="3"/>
      <c r="X630" s="4"/>
    </row>
    <row r="631" spans="2:37" x14ac:dyDescent="0.25">
      <c r="B631" s="1"/>
      <c r="E631" s="2"/>
      <c r="H631" s="3"/>
      <c r="I631" s="3"/>
      <c r="K631" s="3"/>
      <c r="X631" s="4"/>
    </row>
    <row r="632" spans="2:37" x14ac:dyDescent="0.25">
      <c r="B632" s="1"/>
      <c r="E632" s="2"/>
      <c r="H632" s="3"/>
      <c r="I632" s="3"/>
      <c r="K632" s="3"/>
      <c r="L632" s="3"/>
      <c r="X632" s="4"/>
    </row>
    <row r="633" spans="2:37" x14ac:dyDescent="0.25">
      <c r="B633" s="1"/>
      <c r="E633" s="2"/>
      <c r="G633" s="3"/>
      <c r="H633" s="3"/>
      <c r="I633" s="3"/>
      <c r="K633" s="3"/>
      <c r="X633" s="4"/>
    </row>
    <row r="634" spans="2:37" x14ac:dyDescent="0.25">
      <c r="B634" s="1"/>
      <c r="E634" s="2"/>
      <c r="H634" s="3"/>
      <c r="I634" s="3"/>
      <c r="K634" s="3"/>
      <c r="L634" s="3"/>
      <c r="X634" s="4"/>
    </row>
    <row r="635" spans="2:37" x14ac:dyDescent="0.25">
      <c r="B635" s="1"/>
      <c r="D635" s="3"/>
      <c r="E635" s="2"/>
      <c r="G635" s="3"/>
      <c r="H635" s="3"/>
      <c r="I635" s="3"/>
      <c r="K635" s="3"/>
      <c r="X635" s="4"/>
    </row>
    <row r="636" spans="2:37" x14ac:dyDescent="0.25">
      <c r="B636" s="1"/>
      <c r="E636" s="2"/>
      <c r="H636" s="3"/>
      <c r="I636" s="3"/>
      <c r="K636" s="3"/>
      <c r="X636" s="4"/>
    </row>
    <row r="637" spans="2:37" x14ac:dyDescent="0.25">
      <c r="B637" s="1"/>
      <c r="E637" s="2"/>
      <c r="H637" s="3"/>
      <c r="I637" s="3"/>
      <c r="K637" s="3"/>
      <c r="L637" s="3"/>
      <c r="X637" s="4"/>
      <c r="AD637" s="3"/>
      <c r="AK637" s="5"/>
    </row>
    <row r="638" spans="2:37" x14ac:dyDescent="0.25">
      <c r="B638" s="1"/>
      <c r="E638" s="2"/>
      <c r="H638" s="3"/>
      <c r="I638" s="3"/>
      <c r="K638" s="3"/>
      <c r="L638" s="3"/>
      <c r="X638" s="4"/>
      <c r="AB638" s="3"/>
      <c r="AD638" s="3"/>
      <c r="AE638" s="3"/>
      <c r="AK638" s="5"/>
    </row>
    <row r="639" spans="2:37" x14ac:dyDescent="0.25">
      <c r="B639" s="1"/>
      <c r="E639" s="2"/>
      <c r="G639" s="3"/>
      <c r="H639" s="3"/>
      <c r="I639" s="3"/>
      <c r="K639" s="3"/>
      <c r="L639" s="3"/>
      <c r="X639" s="4"/>
      <c r="Z639" s="3"/>
      <c r="AB639" s="3"/>
      <c r="AD639" s="3"/>
      <c r="AE639" s="3"/>
      <c r="AK639" s="5"/>
    </row>
    <row r="640" spans="2:37" x14ac:dyDescent="0.25">
      <c r="B640" s="1"/>
      <c r="E640" s="2"/>
      <c r="H640" s="3"/>
      <c r="I640" s="3"/>
      <c r="K640" s="3"/>
      <c r="L640" s="3"/>
      <c r="X640" s="4"/>
      <c r="AB640" s="3"/>
      <c r="AE640" s="3"/>
      <c r="AK640" s="5"/>
    </row>
    <row r="641" spans="2:37" x14ac:dyDescent="0.25">
      <c r="B641" s="1"/>
      <c r="E641" s="2"/>
      <c r="G641" s="3"/>
      <c r="H641" s="3"/>
      <c r="I641" s="3"/>
      <c r="K641" s="3"/>
      <c r="L641" s="3"/>
      <c r="X641" s="4"/>
      <c r="AD641" s="3"/>
      <c r="AE641" s="3"/>
      <c r="AK641" s="5"/>
    </row>
    <row r="642" spans="2:37" x14ac:dyDescent="0.25">
      <c r="B642" s="1"/>
      <c r="E642" s="2"/>
      <c r="G642" s="3"/>
      <c r="H642" s="3"/>
      <c r="I642" s="3"/>
      <c r="K642" s="3"/>
      <c r="L642" s="3"/>
      <c r="X642" s="4"/>
      <c r="AD642" s="3"/>
      <c r="AE642" s="3"/>
      <c r="AK642" s="5"/>
    </row>
    <row r="643" spans="2:37" x14ac:dyDescent="0.25">
      <c r="B643" s="1"/>
      <c r="D643" s="3"/>
      <c r="E643" s="2"/>
      <c r="G643" s="3"/>
      <c r="H643" s="3"/>
      <c r="I643" s="3"/>
      <c r="K643" s="3"/>
      <c r="L643" s="3"/>
      <c r="X643" s="4"/>
      <c r="AD643" s="3"/>
      <c r="AE643" s="3"/>
      <c r="AK643" s="5"/>
    </row>
    <row r="644" spans="2:37" x14ac:dyDescent="0.25">
      <c r="B644" s="1"/>
      <c r="E644" s="2"/>
      <c r="H644" s="3"/>
      <c r="I644" s="3"/>
      <c r="K644" s="3"/>
      <c r="L644" s="3"/>
      <c r="X644" s="4"/>
      <c r="AE644" s="3"/>
      <c r="AK644" s="5"/>
    </row>
    <row r="645" spans="2:37" x14ac:dyDescent="0.25">
      <c r="B645" s="1"/>
      <c r="E645" s="2"/>
      <c r="F645" s="3"/>
      <c r="G645" s="3"/>
      <c r="H645" s="3"/>
      <c r="I645" s="3"/>
      <c r="K645" s="3"/>
      <c r="X645" s="4"/>
      <c r="AK645" s="5"/>
    </row>
    <row r="646" spans="2:37" x14ac:dyDescent="0.25">
      <c r="B646" s="1"/>
      <c r="E646" s="2"/>
      <c r="H646" s="3"/>
      <c r="I646" s="3"/>
      <c r="K646" s="3"/>
      <c r="X646" s="4"/>
      <c r="AE646" s="3"/>
      <c r="AK646" s="5"/>
    </row>
    <row r="647" spans="2:37" x14ac:dyDescent="0.25">
      <c r="B647" s="1"/>
      <c r="E647" s="2"/>
      <c r="H647" s="3"/>
      <c r="I647" s="3"/>
      <c r="K647" s="3"/>
      <c r="L647" s="3"/>
      <c r="X647" s="4"/>
      <c r="Z647" s="3"/>
      <c r="AD647" s="3"/>
      <c r="AE647" s="3"/>
      <c r="AK647" s="5"/>
    </row>
    <row r="648" spans="2:37" x14ac:dyDescent="0.25">
      <c r="B648" s="1"/>
      <c r="E648" s="2"/>
      <c r="H648" s="3"/>
      <c r="I648" s="3"/>
      <c r="K648" s="3"/>
      <c r="L648" s="3"/>
      <c r="X648" s="4"/>
      <c r="AE648" s="3"/>
      <c r="AK648" s="5"/>
    </row>
    <row r="649" spans="2:37" x14ac:dyDescent="0.25">
      <c r="B649" s="1"/>
      <c r="D649" s="3"/>
      <c r="E649" s="2"/>
      <c r="G649" s="3"/>
      <c r="H649" s="3"/>
      <c r="I649" s="3"/>
      <c r="K649" s="3"/>
      <c r="L649" s="3"/>
      <c r="X649" s="4"/>
      <c r="AD649" s="3"/>
      <c r="AE649" s="3"/>
      <c r="AK649" s="5"/>
    </row>
    <row r="650" spans="2:37" x14ac:dyDescent="0.25">
      <c r="B650" s="1"/>
      <c r="E650" s="2"/>
      <c r="H650" s="3"/>
      <c r="I650" s="3"/>
      <c r="K650" s="3"/>
      <c r="L650" s="3"/>
      <c r="X650" s="4"/>
      <c r="Z650" s="3"/>
      <c r="AB650" s="3"/>
      <c r="AD650" s="3"/>
      <c r="AE650" s="3"/>
      <c r="AK650" s="5"/>
    </row>
    <row r="651" spans="2:37" x14ac:dyDescent="0.25">
      <c r="B651" s="1"/>
      <c r="E651" s="2"/>
      <c r="F651" s="3"/>
      <c r="G651" s="3"/>
      <c r="H651" s="3"/>
      <c r="I651" s="3"/>
      <c r="K651" s="3"/>
      <c r="L651" s="3"/>
      <c r="X651" s="4"/>
      <c r="AB651" s="3"/>
      <c r="AD651" s="3"/>
      <c r="AE651" s="3"/>
      <c r="AK651" s="5"/>
    </row>
    <row r="652" spans="2:37" x14ac:dyDescent="0.25">
      <c r="B652" s="1"/>
      <c r="E652" s="2"/>
      <c r="F652" s="3"/>
      <c r="G652" s="3"/>
      <c r="H652" s="3"/>
      <c r="I652" s="3"/>
      <c r="K652" s="3"/>
      <c r="L652" s="3"/>
      <c r="X652" s="4"/>
      <c r="AB652" s="3"/>
      <c r="AE652" s="3"/>
      <c r="AK652" s="5"/>
    </row>
    <row r="653" spans="2:37" x14ac:dyDescent="0.25">
      <c r="B653" s="1"/>
      <c r="E653" s="2"/>
      <c r="H653" s="3"/>
      <c r="I653" s="3"/>
      <c r="K653" s="3"/>
      <c r="L653" s="3"/>
      <c r="X653" s="4"/>
      <c r="Z653" s="3"/>
      <c r="AB653" s="3"/>
      <c r="AD653" s="3"/>
      <c r="AE653" s="3"/>
      <c r="AK653" s="5"/>
    </row>
    <row r="654" spans="2:37" x14ac:dyDescent="0.25">
      <c r="B654" s="1"/>
      <c r="E654" s="2"/>
      <c r="H654" s="3"/>
      <c r="I654" s="3"/>
      <c r="K654" s="3"/>
      <c r="L654" s="3"/>
      <c r="X654" s="4"/>
      <c r="Z654" s="3"/>
      <c r="AB654" s="3"/>
      <c r="AD654" s="3"/>
      <c r="AE654" s="3"/>
      <c r="AK654" s="5"/>
    </row>
    <row r="655" spans="2:37" x14ac:dyDescent="0.25">
      <c r="B655" s="1"/>
      <c r="E655" s="2"/>
      <c r="H655" s="3"/>
      <c r="I655" s="3"/>
      <c r="K655" s="3"/>
      <c r="L655" s="3"/>
      <c r="X655" s="4"/>
      <c r="AD655" s="3"/>
      <c r="AE655" s="3"/>
      <c r="AK655" s="5"/>
    </row>
    <row r="656" spans="2:37" x14ac:dyDescent="0.25">
      <c r="B656" s="1"/>
      <c r="E656" s="2"/>
      <c r="F656" s="3"/>
      <c r="G656" s="3"/>
      <c r="H656" s="3"/>
      <c r="I656" s="3"/>
      <c r="K656" s="3"/>
      <c r="L656" s="3"/>
      <c r="X656" s="4"/>
      <c r="AD656" s="3"/>
      <c r="AE656" s="3"/>
      <c r="AK656" s="5"/>
    </row>
    <row r="657" spans="2:37" x14ac:dyDescent="0.25">
      <c r="B657" s="1"/>
      <c r="E657" s="2"/>
      <c r="H657" s="3"/>
      <c r="I657" s="3"/>
      <c r="K657" s="3"/>
      <c r="L657" s="3"/>
      <c r="X657" s="4"/>
      <c r="AB657" s="3"/>
      <c r="AD657" s="3"/>
      <c r="AE657" s="3"/>
      <c r="AK657" s="5"/>
    </row>
    <row r="658" spans="2:37" x14ac:dyDescent="0.25">
      <c r="B658" s="1"/>
      <c r="E658" s="2"/>
      <c r="H658" s="3"/>
      <c r="I658" s="3"/>
      <c r="K658" s="3"/>
      <c r="L658" s="3"/>
      <c r="X658" s="4"/>
      <c r="Z658" s="3"/>
      <c r="AE658" s="3"/>
      <c r="AK658" s="5"/>
    </row>
    <row r="659" spans="2:37" x14ac:dyDescent="0.25">
      <c r="B659" s="1"/>
      <c r="E659" s="2"/>
      <c r="H659" s="3"/>
      <c r="I659" s="3"/>
      <c r="K659" s="3"/>
      <c r="L659" s="3"/>
      <c r="X659" s="4"/>
      <c r="AD659" s="3"/>
      <c r="AE659" s="3"/>
      <c r="AK659" s="5"/>
    </row>
    <row r="660" spans="2:37" x14ac:dyDescent="0.25">
      <c r="B660" s="1"/>
      <c r="E660" s="2"/>
      <c r="G660" s="3"/>
      <c r="H660" s="3"/>
      <c r="I660" s="3"/>
      <c r="K660" s="3"/>
      <c r="L660" s="3"/>
      <c r="X660" s="4"/>
      <c r="Z660" s="3"/>
      <c r="AE660" s="3"/>
      <c r="AK660" s="5"/>
    </row>
    <row r="661" spans="2:37" x14ac:dyDescent="0.25">
      <c r="B661" s="1"/>
      <c r="E661" s="2"/>
      <c r="G661" s="3"/>
      <c r="H661" s="3"/>
      <c r="I661" s="3"/>
      <c r="K661" s="3"/>
      <c r="L661" s="3"/>
      <c r="X661" s="4"/>
    </row>
    <row r="662" spans="2:37" x14ac:dyDescent="0.25">
      <c r="B662" s="1"/>
      <c r="D662" s="3"/>
      <c r="E662" s="2"/>
      <c r="G662" s="3"/>
      <c r="H662" s="3"/>
      <c r="I662" s="3"/>
      <c r="K662" s="3"/>
      <c r="X662" s="4"/>
      <c r="AK662" s="5"/>
    </row>
    <row r="663" spans="2:37" x14ac:dyDescent="0.25">
      <c r="B663" s="1"/>
      <c r="E663" s="2"/>
      <c r="H663" s="3"/>
      <c r="I663" s="3"/>
      <c r="K663" s="3"/>
      <c r="X663" s="4"/>
      <c r="AK663" s="5"/>
    </row>
    <row r="664" spans="2:37" x14ac:dyDescent="0.25">
      <c r="B664" s="1"/>
      <c r="E664" s="2"/>
      <c r="G664" s="3"/>
      <c r="H664" s="3"/>
      <c r="I664" s="3"/>
      <c r="K664" s="3"/>
      <c r="X664" s="4"/>
      <c r="AK664" s="5"/>
    </row>
    <row r="665" spans="2:37" x14ac:dyDescent="0.25">
      <c r="B665" s="1"/>
      <c r="E665" s="2"/>
      <c r="H665" s="3"/>
      <c r="I665" s="3"/>
      <c r="K665" s="3"/>
      <c r="L665" s="3"/>
      <c r="X665" s="4"/>
      <c r="AE665" s="3"/>
      <c r="AK665" s="5"/>
    </row>
    <row r="666" spans="2:37" x14ac:dyDescent="0.25">
      <c r="B666" s="1"/>
      <c r="E666" s="2"/>
      <c r="F666" s="3"/>
      <c r="G666" s="3"/>
      <c r="H666" s="3"/>
      <c r="I666" s="3"/>
      <c r="K666" s="3"/>
      <c r="L666" s="3"/>
      <c r="X666" s="4"/>
    </row>
    <row r="667" spans="2:37" x14ac:dyDescent="0.25">
      <c r="B667" s="3"/>
      <c r="D667" s="3"/>
      <c r="E667" s="2"/>
      <c r="G667" s="3"/>
      <c r="H667" s="3"/>
      <c r="I667" s="3"/>
      <c r="K667" s="3"/>
      <c r="L667" s="3"/>
      <c r="X667" s="4"/>
      <c r="AA667" s="3"/>
      <c r="AE667" s="3"/>
      <c r="AK667" s="5"/>
    </row>
    <row r="668" spans="2:37" x14ac:dyDescent="0.25">
      <c r="B668" s="1"/>
      <c r="E668" s="2"/>
      <c r="H668" s="3"/>
      <c r="I668" s="3"/>
      <c r="K668" s="3"/>
      <c r="L668" s="3"/>
      <c r="X668" s="4"/>
      <c r="AA668" s="3"/>
      <c r="AB668" s="3"/>
      <c r="AE668" s="3"/>
      <c r="AK668" s="5"/>
    </row>
    <row r="669" spans="2:37" x14ac:dyDescent="0.25">
      <c r="B669" s="3"/>
      <c r="E669" s="2"/>
      <c r="G669" s="3"/>
      <c r="H669" s="3"/>
      <c r="I669" s="3"/>
      <c r="K669" s="3"/>
      <c r="L669" s="3"/>
      <c r="X669" s="4"/>
      <c r="AA669" s="3"/>
      <c r="AB669" s="3"/>
      <c r="AE669" s="3"/>
      <c r="AK669" s="5"/>
    </row>
    <row r="670" spans="2:37" x14ac:dyDescent="0.25">
      <c r="B670" s="1"/>
      <c r="E670" s="2"/>
      <c r="H670" s="3"/>
      <c r="I670" s="3"/>
      <c r="K670" s="3"/>
      <c r="L670" s="3"/>
      <c r="X670" s="4"/>
      <c r="AA670" s="3"/>
      <c r="AE670" s="3"/>
      <c r="AK670" s="5"/>
    </row>
    <row r="671" spans="2:37" x14ac:dyDescent="0.25">
      <c r="B671" s="1"/>
      <c r="E671" s="2"/>
      <c r="F671" s="3"/>
      <c r="G671" s="3"/>
      <c r="H671" s="3"/>
      <c r="I671" s="3"/>
      <c r="K671" s="3"/>
      <c r="L671" s="3"/>
      <c r="X671" s="4"/>
      <c r="AA671" s="3"/>
      <c r="AE671" s="3"/>
      <c r="AK671" s="5"/>
    </row>
    <row r="672" spans="2:37" x14ac:dyDescent="0.25">
      <c r="B672" s="1"/>
      <c r="E672" s="2"/>
      <c r="H672" s="3"/>
      <c r="I672" s="3"/>
      <c r="K672" s="3"/>
      <c r="L672" s="3"/>
      <c r="X672" s="4"/>
      <c r="AA672" s="3"/>
      <c r="AE672" s="3"/>
      <c r="AK672" s="5"/>
    </row>
    <row r="673" spans="2:37" x14ac:dyDescent="0.25">
      <c r="B673" s="1"/>
      <c r="E673" s="2"/>
      <c r="F673" s="3"/>
      <c r="G673" s="3"/>
      <c r="H673" s="3"/>
      <c r="I673" s="3"/>
      <c r="K673" s="3"/>
      <c r="L673" s="3"/>
      <c r="X673" s="4"/>
      <c r="AA673" s="3"/>
      <c r="AE673" s="3"/>
      <c r="AK673" s="5"/>
    </row>
    <row r="674" spans="2:37" x14ac:dyDescent="0.25">
      <c r="B674" s="1"/>
      <c r="E674" s="2"/>
      <c r="H674" s="3"/>
      <c r="I674" s="3"/>
      <c r="K674" s="3"/>
      <c r="L674" s="3"/>
      <c r="X674" s="4"/>
      <c r="AK674" s="5"/>
    </row>
    <row r="675" spans="2:37" x14ac:dyDescent="0.25">
      <c r="B675" s="1"/>
      <c r="E675" s="2"/>
      <c r="F675" s="3"/>
      <c r="G675" s="3"/>
      <c r="H675" s="3"/>
      <c r="I675" s="3"/>
      <c r="K675" s="3"/>
      <c r="X675" s="4"/>
      <c r="AE675" s="3"/>
      <c r="AK675" s="5"/>
    </row>
    <row r="676" spans="2:37" x14ac:dyDescent="0.25">
      <c r="B676" s="1"/>
      <c r="E676" s="2"/>
      <c r="H676" s="3"/>
      <c r="I676" s="3"/>
      <c r="K676" s="3"/>
      <c r="L676" s="3"/>
      <c r="X676" s="4"/>
      <c r="Z676" s="3"/>
      <c r="AD676" s="3"/>
      <c r="AE676" s="3"/>
      <c r="AK676" s="5"/>
    </row>
    <row r="677" spans="2:37" x14ac:dyDescent="0.25">
      <c r="B677" s="1"/>
      <c r="E677" s="2"/>
      <c r="G677" s="3"/>
      <c r="H677" s="3"/>
      <c r="I677" s="3"/>
      <c r="K677" s="3"/>
      <c r="L677" s="3"/>
      <c r="X677" s="4"/>
      <c r="AD677" s="3"/>
      <c r="AE677" s="3"/>
      <c r="AK677" s="5"/>
    </row>
    <row r="678" spans="2:37" x14ac:dyDescent="0.25">
      <c r="B678" s="1"/>
      <c r="E678" s="2"/>
      <c r="H678" s="3"/>
      <c r="I678" s="3"/>
      <c r="K678" s="3"/>
      <c r="L678" s="3"/>
      <c r="X678" s="4"/>
      <c r="AK678" s="5"/>
    </row>
    <row r="679" spans="2:37" x14ac:dyDescent="0.25">
      <c r="B679" s="1"/>
      <c r="D679" s="3"/>
      <c r="E679" s="2"/>
      <c r="G679" s="3"/>
      <c r="H679" s="3"/>
      <c r="I679" s="3"/>
      <c r="K679" s="3"/>
      <c r="X679" s="4"/>
      <c r="AK679" s="5"/>
    </row>
    <row r="680" spans="2:37" x14ac:dyDescent="0.25">
      <c r="B680" s="1"/>
      <c r="E680" s="2"/>
      <c r="H680" s="3"/>
      <c r="I680" s="3"/>
      <c r="K680" s="3"/>
      <c r="X680" s="4"/>
      <c r="AK680" s="5"/>
    </row>
    <row r="681" spans="2:37" x14ac:dyDescent="0.25">
      <c r="B681" s="1"/>
      <c r="E681" s="2"/>
      <c r="H681" s="3"/>
      <c r="I681" s="3"/>
      <c r="K681" s="3"/>
      <c r="L681" s="3"/>
      <c r="X681" s="4"/>
      <c r="AK681" s="5"/>
    </row>
    <row r="682" spans="2:37" x14ac:dyDescent="0.25">
      <c r="B682" s="1"/>
      <c r="E682" s="2"/>
      <c r="G682" s="3"/>
      <c r="H682" s="3"/>
      <c r="I682" s="3"/>
      <c r="K682" s="3"/>
      <c r="L682" s="3"/>
      <c r="X682" s="4"/>
      <c r="AK682" s="5"/>
    </row>
    <row r="683" spans="2:37" x14ac:dyDescent="0.25">
      <c r="B683" s="1"/>
      <c r="D683" s="3"/>
      <c r="E683" s="2"/>
      <c r="G683" s="3"/>
      <c r="H683" s="3"/>
      <c r="I683" s="3"/>
      <c r="K683" s="3"/>
      <c r="L683" s="3"/>
      <c r="X683" s="4"/>
      <c r="AK683" s="5"/>
    </row>
    <row r="684" spans="2:37" x14ac:dyDescent="0.25">
      <c r="B684" s="1"/>
      <c r="D684" s="3"/>
      <c r="E684" s="2"/>
      <c r="G684" s="3"/>
      <c r="H684" s="3"/>
      <c r="I684" s="3"/>
      <c r="K684" s="3"/>
      <c r="X684" s="4"/>
      <c r="AK684" s="5"/>
    </row>
    <row r="685" spans="2:37" x14ac:dyDescent="0.25">
      <c r="B685" s="1"/>
      <c r="E685" s="2"/>
      <c r="G685" s="3"/>
      <c r="H685" s="3"/>
      <c r="I685" s="3"/>
      <c r="K685" s="3"/>
      <c r="L685" s="3"/>
      <c r="X685" s="4"/>
      <c r="AB685" s="3"/>
      <c r="AD685" s="3"/>
      <c r="AE685" s="3"/>
      <c r="AK685" s="5"/>
    </row>
    <row r="686" spans="2:37" x14ac:dyDescent="0.25">
      <c r="B686" s="1"/>
      <c r="E686" s="2"/>
      <c r="H686" s="3"/>
      <c r="I686" s="3"/>
      <c r="K686" s="3"/>
      <c r="L686" s="3"/>
      <c r="X686" s="4"/>
      <c r="AE686" s="3"/>
      <c r="AK686" s="5"/>
    </row>
    <row r="687" spans="2:37" x14ac:dyDescent="0.25">
      <c r="B687" s="1"/>
      <c r="E687" s="2"/>
      <c r="G687" s="3"/>
      <c r="H687" s="3"/>
      <c r="I687" s="3"/>
      <c r="K687" s="3"/>
      <c r="L687" s="3"/>
      <c r="X687" s="4"/>
      <c r="AD687" s="3"/>
      <c r="AE687" s="3"/>
      <c r="AK687" s="5"/>
    </row>
    <row r="688" spans="2:37" x14ac:dyDescent="0.25">
      <c r="B688" s="1"/>
      <c r="E688" s="2"/>
      <c r="H688" s="3"/>
      <c r="I688" s="3"/>
      <c r="K688" s="3"/>
      <c r="L688" s="3"/>
      <c r="X688" s="4"/>
      <c r="AB688" s="3"/>
      <c r="AE688" s="3"/>
      <c r="AK688" s="5"/>
    </row>
    <row r="689" spans="2:37" x14ac:dyDescent="0.25">
      <c r="B689" s="1"/>
      <c r="D689" s="3"/>
      <c r="E689" s="2"/>
      <c r="G689" s="3"/>
      <c r="H689" s="3"/>
      <c r="I689" s="3"/>
      <c r="K689" s="3"/>
      <c r="X689" s="4"/>
      <c r="AK689" s="5"/>
    </row>
    <row r="690" spans="2:37" x14ac:dyDescent="0.25">
      <c r="B690" s="1"/>
      <c r="E690" s="2"/>
      <c r="H690" s="3"/>
      <c r="I690" s="3"/>
      <c r="K690" s="3"/>
      <c r="L690" s="3"/>
      <c r="X690" s="4"/>
      <c r="AB690" s="3"/>
      <c r="AE690" s="3"/>
      <c r="AK690" s="5"/>
    </row>
    <row r="691" spans="2:37" x14ac:dyDescent="0.25">
      <c r="B691" s="1"/>
      <c r="E691" s="2"/>
      <c r="F691" s="3"/>
      <c r="G691" s="3"/>
      <c r="H691" s="3"/>
      <c r="I691" s="3"/>
      <c r="K691" s="3"/>
      <c r="L691" s="3"/>
      <c r="X691" s="4"/>
      <c r="AB691" s="3"/>
      <c r="AE691" s="3"/>
      <c r="AK691" s="5"/>
    </row>
    <row r="692" spans="2:37" x14ac:dyDescent="0.25">
      <c r="B692" s="1"/>
      <c r="E692" s="2"/>
      <c r="G692" s="3"/>
      <c r="H692" s="3"/>
      <c r="I692" s="3"/>
      <c r="K692" s="3"/>
      <c r="L692" s="3"/>
      <c r="X692" s="4"/>
      <c r="Z692" s="3"/>
      <c r="AE692" s="3"/>
      <c r="AK692" s="5"/>
    </row>
    <row r="693" spans="2:37" x14ac:dyDescent="0.25">
      <c r="B693" s="1"/>
      <c r="E693" s="2"/>
      <c r="H693" s="3"/>
      <c r="I693" s="3"/>
      <c r="K693" s="3"/>
      <c r="L693" s="3"/>
      <c r="X693" s="4"/>
      <c r="Z693" s="3"/>
      <c r="AE693" s="3"/>
      <c r="AK693" s="5"/>
    </row>
    <row r="694" spans="2:37" x14ac:dyDescent="0.25">
      <c r="B694" s="1"/>
      <c r="E694" s="2"/>
      <c r="H694" s="3"/>
      <c r="I694" s="3"/>
      <c r="K694" s="3"/>
      <c r="L694" s="3"/>
      <c r="X694" s="4"/>
      <c r="Z694" s="3"/>
      <c r="AE694" s="3"/>
      <c r="AK694" s="5"/>
    </row>
    <row r="695" spans="2:37" x14ac:dyDescent="0.25">
      <c r="B695" s="1"/>
      <c r="E695" s="2"/>
      <c r="H695" s="3"/>
      <c r="I695" s="3"/>
      <c r="K695" s="3"/>
      <c r="L695" s="3"/>
      <c r="X695" s="4"/>
      <c r="AB695" s="3"/>
      <c r="AK695" s="5"/>
    </row>
    <row r="696" spans="2:37" x14ac:dyDescent="0.25">
      <c r="B696" s="1"/>
      <c r="E696" s="2"/>
      <c r="H696" s="3"/>
      <c r="I696" s="3"/>
      <c r="K696" s="3"/>
      <c r="X696" s="4"/>
      <c r="AE696" s="3"/>
      <c r="AK696" s="5"/>
    </row>
    <row r="697" spans="2:37" x14ac:dyDescent="0.25">
      <c r="B697" s="1"/>
      <c r="E697" s="2"/>
      <c r="H697" s="3"/>
      <c r="I697" s="3"/>
      <c r="K697" s="3"/>
      <c r="L697" s="3"/>
      <c r="X697" s="4"/>
      <c r="AK697" s="5"/>
    </row>
    <row r="698" spans="2:37" x14ac:dyDescent="0.25">
      <c r="B698" s="1"/>
      <c r="E698" s="2"/>
      <c r="G698" s="3"/>
      <c r="H698" s="3"/>
      <c r="I698" s="3"/>
      <c r="K698" s="3"/>
      <c r="L698" s="3"/>
      <c r="X698" s="4"/>
      <c r="Z698" s="3"/>
      <c r="AE698" s="3"/>
      <c r="AK698" s="5"/>
    </row>
    <row r="699" spans="2:37" x14ac:dyDescent="0.25">
      <c r="B699" s="1"/>
      <c r="E699" s="2"/>
      <c r="H699" s="3"/>
      <c r="I699" s="3"/>
      <c r="K699" s="3"/>
      <c r="L699" s="3"/>
      <c r="X699" s="4"/>
      <c r="AE699" s="3"/>
      <c r="AK699" s="5"/>
    </row>
    <row r="700" spans="2:37" x14ac:dyDescent="0.25">
      <c r="B700" s="3"/>
      <c r="E700" s="2"/>
      <c r="F700" s="3"/>
      <c r="G700" s="3"/>
      <c r="H700" s="3"/>
      <c r="I700" s="3"/>
      <c r="K700" s="3"/>
      <c r="L700" s="3"/>
      <c r="X700" s="4"/>
    </row>
    <row r="701" spans="2:37" x14ac:dyDescent="0.25">
      <c r="B701" s="1"/>
      <c r="E701" s="2"/>
      <c r="F701" s="3"/>
      <c r="G701" s="3"/>
      <c r="H701" s="3"/>
      <c r="I701" s="3"/>
      <c r="K701" s="3"/>
      <c r="L701" s="3"/>
      <c r="X701" s="4"/>
    </row>
    <row r="702" spans="2:37" x14ac:dyDescent="0.25">
      <c r="B702" s="1"/>
      <c r="E702" s="2"/>
      <c r="F702" s="3"/>
      <c r="G702" s="3"/>
      <c r="X702" s="4"/>
    </row>
    <row r="703" spans="2:37" x14ac:dyDescent="0.25">
      <c r="B703" s="1"/>
      <c r="E703" s="2"/>
      <c r="H703" s="3"/>
      <c r="I703" s="3"/>
      <c r="K703" s="3"/>
      <c r="L703" s="3"/>
      <c r="X703" s="4"/>
    </row>
    <row r="704" spans="2:37" x14ac:dyDescent="0.25">
      <c r="B704" s="3"/>
      <c r="E704" s="2"/>
      <c r="F704" s="3"/>
      <c r="G704" s="3"/>
      <c r="H704" s="3"/>
      <c r="I704" s="3"/>
      <c r="K704" s="3"/>
      <c r="L704" s="3"/>
      <c r="Z704" s="3"/>
      <c r="AE704" s="3"/>
      <c r="AK704" s="5"/>
    </row>
    <row r="705" spans="2:37" x14ac:dyDescent="0.25">
      <c r="B705" s="1"/>
      <c r="E705" s="2"/>
      <c r="H705" s="3"/>
      <c r="I705" s="3"/>
      <c r="K705" s="3"/>
      <c r="L705" s="3"/>
      <c r="X705" s="4"/>
    </row>
    <row r="706" spans="2:37" x14ac:dyDescent="0.25">
      <c r="F706" s="3"/>
      <c r="G706" s="3"/>
    </row>
    <row r="707" spans="2:37" x14ac:dyDescent="0.25">
      <c r="B707" s="1"/>
      <c r="E707" s="2"/>
      <c r="H707" s="3"/>
      <c r="I707" s="3"/>
      <c r="K707" s="3"/>
      <c r="L707" s="3"/>
      <c r="X707" s="4"/>
    </row>
    <row r="708" spans="2:37" x14ac:dyDescent="0.25">
      <c r="D708" s="3"/>
      <c r="F708" s="3"/>
      <c r="G708" s="3"/>
    </row>
    <row r="709" spans="2:37" x14ac:dyDescent="0.25">
      <c r="B709" s="1"/>
      <c r="E709" s="2"/>
      <c r="H709" s="3"/>
      <c r="I709" s="3"/>
      <c r="K709" s="3"/>
      <c r="L709" s="3"/>
      <c r="X709" s="4"/>
      <c r="Z709" s="3"/>
      <c r="AD709" s="3"/>
      <c r="AE709" s="3"/>
      <c r="AK709" s="5"/>
    </row>
    <row r="710" spans="2:37" x14ac:dyDescent="0.25">
      <c r="B710" s="1"/>
      <c r="E710" s="2"/>
      <c r="H710" s="3"/>
      <c r="I710" s="3"/>
      <c r="K710" s="3"/>
      <c r="L710" s="3"/>
      <c r="X710" s="4"/>
      <c r="Z710" s="3"/>
      <c r="AE710" s="3"/>
      <c r="AK710" s="5"/>
    </row>
    <row r="711" spans="2:37" x14ac:dyDescent="0.25">
      <c r="B711" s="1"/>
      <c r="E711" s="2"/>
      <c r="H711" s="3"/>
      <c r="I711" s="3"/>
      <c r="K711" s="3"/>
      <c r="L711" s="3"/>
      <c r="X711" s="4"/>
      <c r="Z711" s="3"/>
      <c r="AE711" s="3"/>
      <c r="AK711" s="5"/>
    </row>
    <row r="712" spans="2:37" x14ac:dyDescent="0.25">
      <c r="B712" s="1"/>
      <c r="D712" s="3"/>
      <c r="E712" s="2"/>
      <c r="H712" s="3"/>
      <c r="I712" s="3"/>
      <c r="K712" s="3"/>
      <c r="X712" s="4"/>
    </row>
    <row r="713" spans="2:37" x14ac:dyDescent="0.25">
      <c r="B713" s="1"/>
      <c r="E713" s="2"/>
      <c r="H713" s="3"/>
      <c r="I713" s="3"/>
      <c r="K713" s="3"/>
      <c r="X713" s="4"/>
    </row>
    <row r="714" spans="2:37" x14ac:dyDescent="0.25">
      <c r="B714" s="1"/>
      <c r="E714" s="2"/>
      <c r="H714" s="3"/>
      <c r="I714" s="3"/>
      <c r="K714" s="3"/>
      <c r="L714" s="3"/>
      <c r="X714" s="4"/>
      <c r="Z714" s="3"/>
      <c r="AE714" s="3"/>
      <c r="AK714" s="5"/>
    </row>
    <row r="715" spans="2:37" x14ac:dyDescent="0.25">
      <c r="B715" s="1"/>
      <c r="E715" s="2"/>
      <c r="H715" s="3"/>
      <c r="I715" s="3"/>
      <c r="K715" s="3"/>
      <c r="X715" s="4"/>
      <c r="AE715" s="3"/>
      <c r="AK715" s="5"/>
    </row>
    <row r="716" spans="2:37" x14ac:dyDescent="0.25">
      <c r="B716" s="1"/>
      <c r="E716" s="2"/>
      <c r="H716" s="3"/>
      <c r="I716" s="3"/>
      <c r="K716" s="3"/>
      <c r="X716" s="4"/>
      <c r="AK716" s="5"/>
    </row>
    <row r="717" spans="2:37" x14ac:dyDescent="0.25">
      <c r="B717" s="1"/>
      <c r="E717" s="2"/>
      <c r="H717" s="3"/>
      <c r="I717" s="3"/>
      <c r="K717" s="3"/>
      <c r="X717" s="4"/>
    </row>
    <row r="718" spans="2:37" x14ac:dyDescent="0.25">
      <c r="B718" s="1"/>
      <c r="E718" s="2"/>
      <c r="H718" s="3"/>
      <c r="I718" s="3"/>
      <c r="K718" s="3"/>
      <c r="L718" s="3"/>
      <c r="X718" s="4"/>
      <c r="AD718" s="3"/>
      <c r="AE718" s="3"/>
      <c r="AK718" s="5"/>
    </row>
    <row r="719" spans="2:37" x14ac:dyDescent="0.25">
      <c r="B719" s="1"/>
      <c r="E719" s="2"/>
      <c r="H719" s="3"/>
      <c r="I719" s="3"/>
      <c r="K719" s="3"/>
      <c r="X719" s="4"/>
      <c r="AE719" s="3"/>
      <c r="AK719" s="5"/>
    </row>
    <row r="720" spans="2:37" x14ac:dyDescent="0.25">
      <c r="B720" s="1"/>
      <c r="E720" s="2"/>
      <c r="H720" s="3"/>
      <c r="I720" s="3"/>
      <c r="K720" s="3"/>
      <c r="L720" s="3"/>
      <c r="X720" s="4"/>
    </row>
    <row r="721" spans="2:37" x14ac:dyDescent="0.25">
      <c r="B721" s="1"/>
      <c r="E721" s="2"/>
      <c r="G721" s="3"/>
      <c r="H721" s="3"/>
      <c r="I721" s="3"/>
      <c r="K721" s="3"/>
      <c r="X721" s="4"/>
    </row>
    <row r="722" spans="2:37" x14ac:dyDescent="0.25">
      <c r="B722" s="1"/>
      <c r="E722" s="2"/>
      <c r="H722" s="3"/>
      <c r="I722" s="3"/>
      <c r="K722" s="3"/>
      <c r="L722" s="3"/>
      <c r="X722" s="4"/>
    </row>
    <row r="723" spans="2:37" x14ac:dyDescent="0.25">
      <c r="B723" s="3"/>
      <c r="E723" s="2"/>
      <c r="G723" s="3"/>
      <c r="H723" s="3"/>
      <c r="I723" s="3"/>
      <c r="K723" s="3"/>
      <c r="L723" s="3"/>
      <c r="X723" s="4"/>
    </row>
    <row r="724" spans="2:37" x14ac:dyDescent="0.25">
      <c r="B724" s="1"/>
      <c r="E724" s="2"/>
      <c r="F724" s="3"/>
      <c r="G724" s="3"/>
      <c r="H724" s="3"/>
      <c r="I724" s="3"/>
      <c r="K724" s="3"/>
      <c r="L724" s="3"/>
      <c r="X724" s="4"/>
    </row>
    <row r="725" spans="2:37" x14ac:dyDescent="0.25">
      <c r="B725" s="1"/>
      <c r="E725" s="2"/>
      <c r="G725" s="3"/>
      <c r="H725" s="3"/>
      <c r="I725" s="3"/>
      <c r="K725" s="3"/>
      <c r="X725" s="4"/>
    </row>
    <row r="726" spans="2:37" x14ac:dyDescent="0.25">
      <c r="B726" s="1"/>
      <c r="E726" s="2"/>
      <c r="H726" s="3"/>
      <c r="I726" s="3"/>
      <c r="K726" s="3"/>
      <c r="X726" s="4"/>
      <c r="AE726" s="3"/>
      <c r="AK726" s="5"/>
    </row>
    <row r="727" spans="2:37" x14ac:dyDescent="0.25">
      <c r="B727" s="1"/>
      <c r="E727" s="2"/>
      <c r="H727" s="3"/>
      <c r="I727" s="3"/>
      <c r="K727" s="3"/>
      <c r="L727" s="3"/>
      <c r="X727" s="4"/>
      <c r="AD727" s="3"/>
      <c r="AE727" s="3"/>
      <c r="AK727" s="5"/>
    </row>
    <row r="728" spans="2:37" x14ac:dyDescent="0.25">
      <c r="B728" s="1"/>
      <c r="E728" s="2"/>
      <c r="H728" s="3"/>
      <c r="I728" s="3"/>
      <c r="K728" s="3"/>
      <c r="L728" s="3"/>
      <c r="X728" s="4"/>
      <c r="Z728" s="3"/>
      <c r="AD728" s="3"/>
      <c r="AE728" s="3"/>
      <c r="AK728" s="5"/>
    </row>
    <row r="729" spans="2:37" x14ac:dyDescent="0.25">
      <c r="B729" s="1"/>
      <c r="E729" s="2"/>
      <c r="H729" s="3"/>
      <c r="I729" s="3"/>
      <c r="K729" s="3"/>
      <c r="L729" s="3"/>
      <c r="X729" s="4"/>
      <c r="Z729" s="3"/>
      <c r="AD729" s="3"/>
      <c r="AE729" s="3"/>
      <c r="AK729" s="5"/>
    </row>
    <row r="730" spans="2:37" x14ac:dyDescent="0.25">
      <c r="B730" s="1"/>
      <c r="E730" s="2"/>
      <c r="H730" s="3"/>
      <c r="I730" s="3"/>
      <c r="K730" s="3"/>
      <c r="L730" s="3"/>
      <c r="X730" s="4"/>
      <c r="AB730" s="3"/>
      <c r="AD730" s="3"/>
      <c r="AE730" s="3"/>
      <c r="AK730" s="5"/>
    </row>
    <row r="731" spans="2:37" x14ac:dyDescent="0.25">
      <c r="B731" s="1"/>
      <c r="E731" s="2"/>
      <c r="H731" s="3"/>
      <c r="I731" s="3"/>
      <c r="K731" s="3"/>
      <c r="L731" s="3"/>
      <c r="X731" s="4"/>
      <c r="AD731" s="3"/>
      <c r="AE731" s="3"/>
      <c r="AK731" s="5"/>
    </row>
    <row r="732" spans="2:37" x14ac:dyDescent="0.25">
      <c r="B732" s="1"/>
      <c r="E732" s="2"/>
      <c r="H732" s="3"/>
      <c r="I732" s="3"/>
      <c r="K732" s="3"/>
      <c r="L732" s="3"/>
      <c r="X732" s="4"/>
      <c r="AD732" s="3"/>
      <c r="AK732" s="5"/>
    </row>
    <row r="733" spans="2:37" x14ac:dyDescent="0.25">
      <c r="B733" s="1"/>
      <c r="E733" s="2"/>
      <c r="H733" s="3"/>
      <c r="I733" s="3"/>
      <c r="K733" s="3"/>
      <c r="L733" s="3"/>
      <c r="X733" s="4"/>
      <c r="Z733" s="3"/>
      <c r="AE733" s="3"/>
      <c r="AK733" s="5"/>
    </row>
    <row r="734" spans="2:37" x14ac:dyDescent="0.25">
      <c r="B734" s="1"/>
      <c r="E734" s="2"/>
      <c r="H734" s="3"/>
      <c r="I734" s="3"/>
      <c r="K734" s="3"/>
      <c r="X734" s="4"/>
      <c r="AE734" s="3"/>
      <c r="AK734" s="5"/>
    </row>
    <row r="735" spans="2:37" x14ac:dyDescent="0.25">
      <c r="B735" s="1"/>
      <c r="E735" s="2"/>
      <c r="G735" s="3"/>
      <c r="H735" s="3"/>
      <c r="I735" s="3"/>
      <c r="K735" s="3"/>
      <c r="X735" s="4"/>
      <c r="AK735" s="5"/>
    </row>
    <row r="736" spans="2:37" x14ac:dyDescent="0.25">
      <c r="B736" s="1"/>
      <c r="E736" s="2"/>
      <c r="H736" s="3"/>
      <c r="I736" s="3"/>
      <c r="K736" s="3"/>
      <c r="L736" s="3"/>
      <c r="X736" s="4"/>
      <c r="Z736" s="3"/>
      <c r="AE736" s="3"/>
      <c r="AK736" s="5"/>
    </row>
    <row r="737" spans="2:37" x14ac:dyDescent="0.25">
      <c r="B737" s="1"/>
      <c r="E737" s="2"/>
      <c r="G737" s="3"/>
      <c r="H737" s="3"/>
      <c r="I737" s="3"/>
      <c r="K737" s="3"/>
      <c r="L737" s="3"/>
      <c r="X737" s="4"/>
      <c r="Z737" s="3"/>
      <c r="AE737" s="3"/>
      <c r="AK737" s="5"/>
    </row>
    <row r="738" spans="2:37" x14ac:dyDescent="0.25">
      <c r="B738" s="1"/>
      <c r="E738" s="2"/>
      <c r="H738" s="3"/>
      <c r="I738" s="3"/>
      <c r="K738" s="3"/>
      <c r="L738" s="3"/>
      <c r="X738" s="4"/>
      <c r="Z738" s="3"/>
      <c r="AB738" s="3"/>
      <c r="AE738" s="3"/>
      <c r="AK738" s="5"/>
    </row>
    <row r="739" spans="2:37" x14ac:dyDescent="0.25">
      <c r="B739" s="1"/>
      <c r="E739" s="2"/>
      <c r="H739" s="3"/>
      <c r="I739" s="3"/>
      <c r="K739" s="3"/>
      <c r="L739" s="3"/>
      <c r="X739" s="4"/>
      <c r="AB739" s="3"/>
      <c r="AK739" s="5"/>
    </row>
    <row r="740" spans="2:37" x14ac:dyDescent="0.25">
      <c r="B740" s="1"/>
      <c r="D740" s="3"/>
      <c r="E740" s="2"/>
      <c r="G740" s="3"/>
      <c r="H740" s="3"/>
      <c r="I740" s="3"/>
      <c r="K740" s="3"/>
      <c r="L740" s="3"/>
      <c r="X740" s="4"/>
    </row>
    <row r="741" spans="2:37" x14ac:dyDescent="0.25">
      <c r="B741" s="1"/>
      <c r="E741" s="2"/>
      <c r="G741" s="3"/>
      <c r="H741" s="3"/>
      <c r="I741" s="3"/>
      <c r="K741" s="3"/>
      <c r="L741" s="3"/>
      <c r="X741" s="4"/>
      <c r="AB741" s="3"/>
      <c r="AE741" s="3"/>
      <c r="AK741" s="5"/>
    </row>
    <row r="742" spans="2:37" x14ac:dyDescent="0.25">
      <c r="B742" s="1"/>
      <c r="E742" s="2"/>
      <c r="H742" s="3"/>
      <c r="I742" s="3"/>
      <c r="K742" s="3"/>
      <c r="L742" s="3"/>
      <c r="X742" s="4"/>
      <c r="AB742" s="3"/>
      <c r="AE742" s="3"/>
      <c r="AK742" s="5"/>
    </row>
    <row r="743" spans="2:37" x14ac:dyDescent="0.25">
      <c r="B743" s="1"/>
      <c r="E743" s="2"/>
      <c r="G743" s="3"/>
      <c r="H743" s="3"/>
      <c r="I743" s="3"/>
      <c r="K743" s="3"/>
      <c r="L743" s="3"/>
      <c r="X743" s="4"/>
      <c r="AB743" s="3"/>
      <c r="AE743" s="3"/>
      <c r="AK743" s="5"/>
    </row>
    <row r="744" spans="2:37" x14ac:dyDescent="0.25">
      <c r="B744" s="1"/>
      <c r="E744" s="2"/>
      <c r="H744" s="3"/>
      <c r="I744" s="3"/>
      <c r="K744" s="3"/>
      <c r="L744" s="3"/>
      <c r="X744" s="4"/>
      <c r="AB744" s="3"/>
      <c r="AE744" s="3"/>
      <c r="AK744" s="5"/>
    </row>
    <row r="745" spans="2:37" x14ac:dyDescent="0.25">
      <c r="B745" s="1"/>
      <c r="E745" s="2"/>
      <c r="G745" s="3"/>
      <c r="H745" s="3"/>
      <c r="I745" s="3"/>
      <c r="K745" s="3"/>
      <c r="L745" s="3"/>
      <c r="X745" s="4"/>
      <c r="AB745" s="3"/>
      <c r="AE745" s="3"/>
      <c r="AK745" s="5"/>
    </row>
    <row r="746" spans="2:37" x14ac:dyDescent="0.25">
      <c r="B746" s="1"/>
      <c r="D746" s="3"/>
      <c r="E746" s="2"/>
      <c r="G746" s="3"/>
      <c r="H746" s="3"/>
      <c r="I746" s="3"/>
      <c r="K746" s="3"/>
      <c r="L746" s="3"/>
      <c r="X746" s="4"/>
      <c r="AK746" s="5"/>
    </row>
    <row r="747" spans="2:37" x14ac:dyDescent="0.25">
      <c r="B747" s="1"/>
      <c r="E747" s="2"/>
      <c r="F747" s="3"/>
      <c r="G747" s="3"/>
      <c r="H747" s="3"/>
      <c r="I747" s="3"/>
      <c r="K747" s="3"/>
      <c r="L747" s="3"/>
      <c r="X747" s="4"/>
      <c r="AK747" s="5"/>
    </row>
    <row r="748" spans="2:37" x14ac:dyDescent="0.25">
      <c r="B748" s="1"/>
      <c r="D748" s="3"/>
      <c r="E748" s="2"/>
      <c r="G748" s="3"/>
      <c r="H748" s="3"/>
      <c r="I748" s="3"/>
      <c r="K748" s="3"/>
      <c r="L748" s="3"/>
      <c r="X748" s="4"/>
      <c r="AA748" s="3"/>
      <c r="AB748" s="3"/>
      <c r="AE748" s="3"/>
      <c r="AK748" s="5"/>
    </row>
    <row r="749" spans="2:37" x14ac:dyDescent="0.25">
      <c r="B749" s="1"/>
      <c r="E749" s="2"/>
      <c r="H749" s="3"/>
      <c r="I749" s="3"/>
      <c r="K749" s="3"/>
      <c r="X749" s="4"/>
      <c r="AK749" s="5"/>
    </row>
    <row r="750" spans="2:37" x14ac:dyDescent="0.25">
      <c r="B750" s="1"/>
      <c r="E750" s="2"/>
      <c r="H750" s="3"/>
      <c r="I750" s="3"/>
      <c r="K750" s="3"/>
      <c r="L750" s="3"/>
      <c r="X750" s="4"/>
      <c r="Z750" s="3"/>
      <c r="AE750" s="3"/>
      <c r="AK750" s="5"/>
    </row>
    <row r="751" spans="2:37" x14ac:dyDescent="0.25">
      <c r="B751" s="1"/>
      <c r="E751" s="2"/>
      <c r="H751" s="3"/>
      <c r="I751" s="3"/>
      <c r="K751" s="3"/>
      <c r="L751" s="3"/>
      <c r="X751" s="4"/>
      <c r="AA751" s="3"/>
      <c r="AE751" s="3"/>
      <c r="AK751" s="5"/>
    </row>
    <row r="752" spans="2:37" x14ac:dyDescent="0.25">
      <c r="B752" s="1"/>
      <c r="E752" s="2"/>
      <c r="H752" s="3"/>
      <c r="I752" s="3"/>
      <c r="K752" s="3"/>
      <c r="L752" s="3"/>
      <c r="X752" s="4"/>
      <c r="AD752" s="3"/>
      <c r="AE752" s="3"/>
      <c r="AK752" s="5"/>
    </row>
    <row r="753" spans="2:37" x14ac:dyDescent="0.25">
      <c r="B753" s="1"/>
      <c r="E753" s="2"/>
      <c r="H753" s="3"/>
      <c r="I753" s="3"/>
      <c r="K753" s="3"/>
      <c r="L753" s="3"/>
      <c r="X753" s="4"/>
      <c r="AE753" s="3"/>
      <c r="AK753" s="5"/>
    </row>
    <row r="754" spans="2:37" x14ac:dyDescent="0.25">
      <c r="B754" s="1"/>
      <c r="E754" s="2"/>
      <c r="H754" s="3"/>
      <c r="I754" s="3"/>
      <c r="K754" s="3"/>
      <c r="L754" s="3"/>
      <c r="X754" s="4"/>
    </row>
    <row r="755" spans="2:37" x14ac:dyDescent="0.25">
      <c r="B755" s="3"/>
      <c r="E755" s="2"/>
      <c r="G755" s="3"/>
      <c r="H755" s="3"/>
      <c r="I755" s="3"/>
      <c r="K755" s="3"/>
      <c r="L755" s="3"/>
      <c r="X755" s="4"/>
    </row>
    <row r="756" spans="2:37" x14ac:dyDescent="0.25">
      <c r="B756" s="1"/>
      <c r="D756" s="3"/>
      <c r="E756" s="2"/>
      <c r="G756" s="3"/>
      <c r="H756" s="3"/>
      <c r="I756" s="3"/>
      <c r="K756" s="3"/>
      <c r="L756" s="3"/>
      <c r="X756" s="4"/>
    </row>
    <row r="757" spans="2:37" x14ac:dyDescent="0.25">
      <c r="B757" s="3"/>
      <c r="E757" s="2"/>
      <c r="F757" s="3"/>
      <c r="G757" s="3"/>
      <c r="H757" s="3"/>
      <c r="I757" s="3"/>
      <c r="K757" s="3"/>
      <c r="L757" s="3"/>
      <c r="X757" s="4"/>
    </row>
    <row r="758" spans="2:37" x14ac:dyDescent="0.25">
      <c r="B758" s="1"/>
      <c r="E758" s="2"/>
      <c r="G758" s="3"/>
      <c r="H758" s="3"/>
      <c r="I758" s="3"/>
      <c r="K758" s="3"/>
      <c r="X758" s="4"/>
      <c r="AK758" s="5"/>
    </row>
    <row r="759" spans="2:37" x14ac:dyDescent="0.25">
      <c r="B759" s="1"/>
      <c r="E759" s="2"/>
      <c r="G759" s="3"/>
      <c r="H759" s="3"/>
      <c r="I759" s="3"/>
      <c r="K759" s="3"/>
      <c r="L759" s="3"/>
      <c r="X759" s="4"/>
      <c r="AB759" s="3"/>
      <c r="AE759" s="3"/>
      <c r="AK759" s="5"/>
    </row>
    <row r="760" spans="2:37" x14ac:dyDescent="0.25">
      <c r="B760" s="1"/>
      <c r="E760" s="2"/>
      <c r="H760" s="3"/>
      <c r="I760" s="3"/>
      <c r="K760" s="3"/>
      <c r="L760" s="3"/>
      <c r="X760" s="4"/>
      <c r="AE760" s="3"/>
      <c r="AK760" s="5"/>
    </row>
    <row r="761" spans="2:37" x14ac:dyDescent="0.25">
      <c r="B761" s="1"/>
      <c r="E761" s="2"/>
      <c r="F761" s="3"/>
      <c r="G761" s="3"/>
      <c r="H761" s="3"/>
      <c r="I761" s="3"/>
      <c r="K761" s="3"/>
      <c r="L761" s="3"/>
      <c r="X761" s="4"/>
      <c r="AA761" s="3"/>
      <c r="AE761" s="3"/>
      <c r="AK761" s="5"/>
    </row>
    <row r="762" spans="2:37" x14ac:dyDescent="0.25">
      <c r="B762" s="1"/>
      <c r="E762" s="2"/>
      <c r="H762" s="3"/>
      <c r="I762" s="3"/>
      <c r="K762" s="3"/>
      <c r="L762" s="3"/>
      <c r="X762" s="4"/>
      <c r="AA762" s="3"/>
      <c r="AK762" s="5"/>
    </row>
    <row r="763" spans="2:37" x14ac:dyDescent="0.25">
      <c r="B763" s="1"/>
      <c r="E763" s="2"/>
      <c r="G763" s="3"/>
      <c r="H763" s="3"/>
      <c r="I763" s="3"/>
      <c r="K763" s="3"/>
      <c r="L763" s="3"/>
      <c r="X763" s="4"/>
      <c r="AA763" s="3"/>
      <c r="AK763" s="5"/>
    </row>
    <row r="764" spans="2:37" x14ac:dyDescent="0.25">
      <c r="B764" s="3"/>
      <c r="E764" s="2"/>
      <c r="G764" s="3"/>
      <c r="H764" s="3"/>
      <c r="I764" s="3"/>
      <c r="K764" s="3"/>
      <c r="L764" s="3"/>
      <c r="X764" s="4"/>
      <c r="AA764" s="3"/>
      <c r="AK764" s="5"/>
    </row>
    <row r="765" spans="2:37" x14ac:dyDescent="0.25">
      <c r="B765" s="1"/>
      <c r="E765" s="2"/>
      <c r="H765" s="3"/>
      <c r="I765" s="3"/>
      <c r="K765" s="3"/>
      <c r="L765" s="3"/>
      <c r="X765" s="4"/>
      <c r="Z765" s="3"/>
      <c r="AA765" s="3"/>
      <c r="AE765" s="3"/>
      <c r="AK765" s="5"/>
    </row>
    <row r="766" spans="2:37" x14ac:dyDescent="0.25">
      <c r="B766" s="1"/>
      <c r="E766" s="2"/>
      <c r="G766" s="3"/>
      <c r="H766" s="3"/>
      <c r="I766" s="3"/>
      <c r="K766" s="3"/>
      <c r="X766" s="4"/>
      <c r="AK766" s="5"/>
    </row>
    <row r="767" spans="2:37" x14ac:dyDescent="0.25">
      <c r="B767" s="1"/>
      <c r="E767" s="2"/>
      <c r="H767" s="3"/>
      <c r="I767" s="3"/>
      <c r="K767" s="3"/>
      <c r="L767" s="3"/>
      <c r="X767" s="4"/>
      <c r="AA767" s="3"/>
      <c r="AD767" s="3"/>
      <c r="AE767" s="3"/>
      <c r="AK767" s="5"/>
    </row>
    <row r="768" spans="2:37" x14ac:dyDescent="0.25">
      <c r="B768" s="1"/>
      <c r="E768" s="2"/>
      <c r="H768" s="3"/>
      <c r="I768" s="3"/>
      <c r="K768" s="3"/>
      <c r="L768" s="3"/>
      <c r="X768" s="4"/>
      <c r="Z768" s="3"/>
      <c r="AA768" s="3"/>
      <c r="AD768" s="3"/>
      <c r="AE768" s="3"/>
      <c r="AK768" s="5"/>
    </row>
    <row r="769" spans="2:37" x14ac:dyDescent="0.25">
      <c r="B769" s="1"/>
      <c r="E769" s="2"/>
      <c r="G769" s="3"/>
      <c r="H769" s="3"/>
      <c r="I769" s="3"/>
      <c r="K769" s="3"/>
      <c r="L769" s="3"/>
      <c r="X769" s="4"/>
      <c r="Z769" s="3"/>
      <c r="AE769" s="3"/>
      <c r="AK769" s="5"/>
    </row>
    <row r="770" spans="2:37" x14ac:dyDescent="0.25">
      <c r="B770" s="1"/>
      <c r="E770" s="2"/>
      <c r="H770" s="3"/>
      <c r="I770" s="3"/>
      <c r="K770" s="3"/>
      <c r="L770" s="3"/>
      <c r="X770" s="4"/>
      <c r="Z770" s="3"/>
      <c r="AE770" s="3"/>
      <c r="AK770" s="5"/>
    </row>
    <row r="771" spans="2:37" x14ac:dyDescent="0.25">
      <c r="B771" s="1"/>
      <c r="E771" s="2"/>
      <c r="H771" s="3"/>
      <c r="I771" s="3"/>
      <c r="K771" s="3"/>
      <c r="L771" s="3"/>
      <c r="X771" s="4"/>
      <c r="Z771" s="3"/>
      <c r="AE771" s="3"/>
      <c r="AK771" s="5"/>
    </row>
    <row r="772" spans="2:37" x14ac:dyDescent="0.25">
      <c r="B772" s="1"/>
      <c r="E772" s="2"/>
      <c r="H772" s="3"/>
      <c r="I772" s="3"/>
      <c r="K772" s="3"/>
      <c r="L772" s="3"/>
      <c r="X772" s="4"/>
      <c r="Z772" s="3"/>
      <c r="AB772" s="3"/>
      <c r="AE772" s="3"/>
      <c r="AK772" s="5"/>
    </row>
    <row r="773" spans="2:37" x14ac:dyDescent="0.25">
      <c r="B773" s="1"/>
      <c r="E773" s="2"/>
      <c r="H773" s="3"/>
      <c r="I773" s="3"/>
      <c r="K773" s="3"/>
      <c r="L773" s="3"/>
      <c r="X773" s="4"/>
      <c r="Z773" s="3"/>
      <c r="AE773" s="3"/>
      <c r="AK773" s="5"/>
    </row>
    <row r="774" spans="2:37" x14ac:dyDescent="0.25">
      <c r="B774" s="1"/>
      <c r="E774" s="2"/>
      <c r="H774" s="3"/>
      <c r="I774" s="3"/>
      <c r="K774" s="3"/>
      <c r="L774" s="3"/>
      <c r="X774" s="4"/>
      <c r="Z774" s="3"/>
      <c r="AE774" s="3"/>
      <c r="AK774" s="5"/>
    </row>
    <row r="775" spans="2:37" x14ac:dyDescent="0.25">
      <c r="B775" s="3"/>
      <c r="E775" s="2"/>
      <c r="G775" s="3"/>
      <c r="H775" s="3"/>
      <c r="I775" s="3"/>
      <c r="K775" s="3"/>
      <c r="L775" s="3"/>
      <c r="X775" s="4"/>
      <c r="Z775" s="3"/>
      <c r="AK775" s="5"/>
    </row>
    <row r="776" spans="2:37" x14ac:dyDescent="0.25">
      <c r="B776" s="1"/>
      <c r="E776" s="2"/>
      <c r="H776" s="3"/>
      <c r="I776" s="3"/>
      <c r="K776" s="3"/>
      <c r="L776" s="3"/>
      <c r="X776" s="4"/>
      <c r="Z776" s="3"/>
      <c r="AE776" s="3"/>
      <c r="AK776" s="5"/>
    </row>
    <row r="777" spans="2:37" x14ac:dyDescent="0.25">
      <c r="B777" s="1"/>
      <c r="E777" s="2"/>
      <c r="H777" s="3"/>
      <c r="I777" s="3"/>
      <c r="K777" s="3"/>
      <c r="L777" s="3"/>
      <c r="X777" s="4"/>
      <c r="Z777" s="3"/>
      <c r="AE777" s="3"/>
      <c r="AK777" s="5"/>
    </row>
    <row r="778" spans="2:37" x14ac:dyDescent="0.25">
      <c r="B778" s="1"/>
      <c r="E778" s="2"/>
      <c r="H778" s="3"/>
      <c r="I778" s="3"/>
      <c r="K778" s="3"/>
      <c r="X778" s="4"/>
      <c r="AE778" s="3"/>
      <c r="AK778" s="5"/>
    </row>
    <row r="779" spans="2:37" x14ac:dyDescent="0.25">
      <c r="B779" s="1"/>
      <c r="E779" s="2"/>
      <c r="H779" s="3"/>
      <c r="I779" s="3"/>
      <c r="K779" s="3"/>
      <c r="L779" s="3"/>
      <c r="X779" s="4"/>
      <c r="AK779" s="5"/>
    </row>
    <row r="780" spans="2:37" x14ac:dyDescent="0.25">
      <c r="B780" s="1"/>
      <c r="E780" s="2"/>
      <c r="H780" s="3"/>
      <c r="I780" s="3"/>
      <c r="K780" s="3"/>
      <c r="L780" s="3"/>
      <c r="X780" s="4"/>
      <c r="Z780" s="3"/>
      <c r="AD780" s="3"/>
      <c r="AE780" s="3"/>
      <c r="AK780" s="5"/>
    </row>
    <row r="781" spans="2:37" x14ac:dyDescent="0.25">
      <c r="B781" s="1"/>
      <c r="E781" s="2"/>
      <c r="G781" s="3"/>
      <c r="H781" s="3"/>
      <c r="I781" s="3"/>
      <c r="K781" s="3"/>
      <c r="L781" s="3"/>
      <c r="X781" s="4"/>
    </row>
    <row r="782" spans="2:37" x14ac:dyDescent="0.25">
      <c r="B782" s="3"/>
      <c r="E782" s="2"/>
      <c r="G782" s="3"/>
      <c r="H782" s="3"/>
      <c r="I782" s="3"/>
      <c r="K782" s="3"/>
      <c r="L782" s="3"/>
      <c r="X782" s="4"/>
    </row>
    <row r="783" spans="2:37" x14ac:dyDescent="0.25">
      <c r="B783" s="1"/>
      <c r="E783" s="2"/>
      <c r="F783" s="3"/>
      <c r="H783" s="3"/>
      <c r="I783" s="3"/>
      <c r="K783" s="3"/>
      <c r="L783" s="3"/>
      <c r="X783" s="4"/>
      <c r="AB783" s="3"/>
      <c r="AE783" s="3"/>
      <c r="AK783" s="5"/>
    </row>
    <row r="784" spans="2:37" x14ac:dyDescent="0.25">
      <c r="B784" s="1"/>
      <c r="E784" s="2"/>
      <c r="G784" s="3"/>
      <c r="H784" s="3"/>
      <c r="I784" s="3"/>
      <c r="K784" s="3"/>
      <c r="L784" s="3"/>
      <c r="X784" s="4"/>
      <c r="Z784" s="3"/>
      <c r="AD784" s="3"/>
      <c r="AE784" s="3"/>
      <c r="AK784" s="5"/>
    </row>
    <row r="785" spans="2:37" x14ac:dyDescent="0.25">
      <c r="B785" s="1"/>
      <c r="E785" s="2"/>
      <c r="H785" s="3"/>
      <c r="I785" s="3"/>
      <c r="K785" s="3"/>
      <c r="L785" s="3"/>
      <c r="X785" s="4"/>
    </row>
    <row r="786" spans="2:37" x14ac:dyDescent="0.25">
      <c r="B786" s="3"/>
      <c r="D786" s="3"/>
      <c r="F786" s="3"/>
      <c r="G786" s="3"/>
    </row>
    <row r="787" spans="2:37" x14ac:dyDescent="0.25">
      <c r="B787" s="1"/>
      <c r="E787" s="2"/>
      <c r="H787" s="3"/>
      <c r="I787" s="3"/>
      <c r="K787" s="3"/>
      <c r="L787" s="3"/>
      <c r="X787" s="4"/>
      <c r="Z787" s="3"/>
      <c r="AB787" s="3"/>
      <c r="AE787" s="3"/>
      <c r="AK787" s="5"/>
    </row>
    <row r="788" spans="2:37" x14ac:dyDescent="0.25">
      <c r="B788" s="1"/>
      <c r="E788" s="2"/>
      <c r="G788" s="3"/>
      <c r="H788" s="3"/>
      <c r="I788" s="3"/>
      <c r="K788" s="3"/>
      <c r="X788" s="4"/>
      <c r="AK788" s="5"/>
    </row>
    <row r="789" spans="2:37" x14ac:dyDescent="0.25">
      <c r="B789" s="1"/>
      <c r="E789" s="2"/>
      <c r="H789" s="3"/>
      <c r="I789" s="3"/>
      <c r="K789" s="3"/>
      <c r="L789" s="3"/>
      <c r="X789" s="4"/>
      <c r="AK789" s="5"/>
    </row>
    <row r="790" spans="2:37" x14ac:dyDescent="0.25">
      <c r="B790" s="3"/>
      <c r="E790" s="2"/>
      <c r="G790" s="3"/>
      <c r="H790" s="3"/>
      <c r="I790" s="3"/>
      <c r="K790" s="3"/>
      <c r="X790" s="4"/>
      <c r="AK790" s="5"/>
    </row>
    <row r="791" spans="2:37" x14ac:dyDescent="0.25">
      <c r="B791" s="1"/>
      <c r="E791" s="2"/>
      <c r="H791" s="3"/>
      <c r="I791" s="3"/>
      <c r="K791" s="3"/>
      <c r="L791" s="3"/>
      <c r="X791" s="4"/>
      <c r="AE791" s="3"/>
      <c r="AK791" s="5"/>
    </row>
    <row r="792" spans="2:37" x14ac:dyDescent="0.25">
      <c r="B792" s="1"/>
      <c r="E792" s="2"/>
      <c r="G792" s="3"/>
      <c r="H792" s="3"/>
      <c r="I792" s="3"/>
      <c r="K792" s="3"/>
      <c r="X792" s="4"/>
    </row>
    <row r="793" spans="2:37" x14ac:dyDescent="0.25">
      <c r="B793" s="1"/>
      <c r="E793" s="2"/>
      <c r="H793" s="3"/>
      <c r="I793" s="3"/>
      <c r="K793" s="3"/>
      <c r="X793" s="4"/>
    </row>
    <row r="794" spans="2:37" x14ac:dyDescent="0.25">
      <c r="B794" s="1"/>
      <c r="E794" s="2"/>
      <c r="G794" s="3"/>
      <c r="H794" s="3"/>
      <c r="I794" s="3"/>
      <c r="K794" s="3"/>
      <c r="X794" s="4"/>
      <c r="AK794" s="5"/>
    </row>
    <row r="795" spans="2:37" x14ac:dyDescent="0.25">
      <c r="B795" s="1"/>
      <c r="E795" s="2"/>
      <c r="H795" s="3"/>
      <c r="I795" s="3"/>
      <c r="K795" s="3"/>
      <c r="X795" s="4"/>
      <c r="AK795" s="5"/>
    </row>
    <row r="796" spans="2:37" x14ac:dyDescent="0.25">
      <c r="B796" s="1"/>
      <c r="E796" s="2"/>
      <c r="H796" s="3"/>
      <c r="I796" s="3"/>
      <c r="K796" s="3"/>
      <c r="L796" s="3"/>
      <c r="X796" s="4"/>
      <c r="Z796" s="3"/>
      <c r="AE796" s="3"/>
      <c r="AK796" s="5"/>
    </row>
    <row r="797" spans="2:37" x14ac:dyDescent="0.25">
      <c r="B797" s="1"/>
      <c r="E797" s="2"/>
      <c r="H797" s="3"/>
      <c r="I797" s="3"/>
      <c r="K797" s="3"/>
      <c r="L797" s="3"/>
      <c r="X797" s="4"/>
      <c r="AB797" s="3"/>
      <c r="AE797" s="3"/>
      <c r="AK797" s="5"/>
    </row>
    <row r="798" spans="2:37" x14ac:dyDescent="0.25">
      <c r="B798" s="1"/>
      <c r="E798" s="2"/>
      <c r="H798" s="3"/>
      <c r="I798" s="3"/>
      <c r="K798" s="3"/>
      <c r="L798" s="3"/>
      <c r="X798" s="4"/>
      <c r="AD798" s="3"/>
      <c r="AE798" s="3"/>
      <c r="AK798" s="5"/>
    </row>
    <row r="799" spans="2:37" x14ac:dyDescent="0.25">
      <c r="B799" s="1"/>
      <c r="E799" s="2"/>
      <c r="G799" s="3"/>
      <c r="H799" s="3"/>
      <c r="I799" s="3"/>
      <c r="K799" s="3"/>
      <c r="L799" s="3"/>
      <c r="X799" s="4"/>
      <c r="AK799" s="5"/>
    </row>
    <row r="800" spans="2:37" x14ac:dyDescent="0.25">
      <c r="B800" s="1"/>
      <c r="E800" s="2"/>
      <c r="H800" s="3"/>
      <c r="I800" s="3"/>
      <c r="K800" s="3"/>
      <c r="X800" s="4"/>
      <c r="AE800" s="3"/>
      <c r="AK800" s="5"/>
    </row>
    <row r="801" spans="2:37" x14ac:dyDescent="0.25">
      <c r="B801" s="1"/>
      <c r="E801" s="2"/>
      <c r="H801" s="3"/>
      <c r="I801" s="3"/>
      <c r="K801" s="3"/>
      <c r="X801" s="4"/>
      <c r="AE801" s="3"/>
      <c r="AK801" s="5"/>
    </row>
    <row r="802" spans="2:37" x14ac:dyDescent="0.25">
      <c r="B802" s="1"/>
      <c r="E802" s="2"/>
      <c r="H802" s="3"/>
      <c r="I802" s="3"/>
      <c r="K802" s="3"/>
      <c r="L802" s="3"/>
      <c r="X802" s="4"/>
    </row>
    <row r="803" spans="2:37" x14ac:dyDescent="0.25">
      <c r="B803" s="3"/>
      <c r="D803" s="3"/>
      <c r="G803" s="3"/>
    </row>
    <row r="804" spans="2:37" x14ac:dyDescent="0.25">
      <c r="B804" s="1"/>
      <c r="E804" s="2"/>
      <c r="H804" s="3"/>
      <c r="I804" s="3"/>
      <c r="K804" s="3"/>
      <c r="L804" s="3"/>
      <c r="X804" s="4"/>
    </row>
    <row r="805" spans="2:37" x14ac:dyDescent="0.25">
      <c r="B805" s="3"/>
      <c r="F805" s="3"/>
      <c r="G805" s="3"/>
    </row>
    <row r="806" spans="2:37" x14ac:dyDescent="0.25">
      <c r="B806" s="1"/>
      <c r="E806" s="2"/>
      <c r="H806" s="3"/>
      <c r="I806" s="3"/>
      <c r="K806" s="3"/>
      <c r="L806" s="3"/>
      <c r="X806" s="4"/>
      <c r="AE806" s="3"/>
      <c r="AK806" s="5"/>
    </row>
    <row r="807" spans="2:37" x14ac:dyDescent="0.25">
      <c r="B807" s="1"/>
      <c r="E807" s="2"/>
      <c r="F807" s="3"/>
      <c r="G807" s="3"/>
      <c r="H807" s="3"/>
      <c r="I807" s="3"/>
      <c r="K807" s="3"/>
      <c r="X807" s="4"/>
      <c r="AE807" s="3"/>
      <c r="AK807" s="5"/>
    </row>
    <row r="808" spans="2:37" x14ac:dyDescent="0.25">
      <c r="B808" s="1"/>
      <c r="E808" s="2"/>
      <c r="H808" s="3"/>
      <c r="I808" s="3"/>
      <c r="K808" s="3"/>
      <c r="L808" s="3"/>
      <c r="X808" s="4"/>
      <c r="Z808" s="3"/>
      <c r="AE808" s="3"/>
      <c r="AK808" s="5"/>
    </row>
    <row r="809" spans="2:37" x14ac:dyDescent="0.25">
      <c r="B809" s="1"/>
      <c r="E809" s="2"/>
      <c r="H809" s="3"/>
      <c r="I809" s="3"/>
      <c r="K809" s="3"/>
      <c r="L809" s="3"/>
      <c r="X809" s="4"/>
      <c r="AA809" s="3"/>
      <c r="AE809" s="3"/>
      <c r="AK809" s="5"/>
    </row>
    <row r="810" spans="2:37" x14ac:dyDescent="0.25">
      <c r="B810" s="1"/>
      <c r="D810" s="3"/>
      <c r="E810" s="2"/>
      <c r="G810" s="3"/>
      <c r="H810" s="3"/>
      <c r="I810" s="3"/>
      <c r="K810" s="3"/>
      <c r="X810" s="4"/>
      <c r="AE810" s="3"/>
      <c r="AK810" s="5"/>
    </row>
    <row r="811" spans="2:37" x14ac:dyDescent="0.25">
      <c r="B811" s="1"/>
      <c r="E811" s="2"/>
      <c r="H811" s="3"/>
      <c r="I811" s="3"/>
      <c r="K811" s="3"/>
      <c r="L811" s="3"/>
      <c r="X811" s="4"/>
      <c r="Z811" s="3"/>
      <c r="AB811" s="3"/>
      <c r="AE811" s="3"/>
      <c r="AK811" s="5"/>
    </row>
    <row r="812" spans="2:37" x14ac:dyDescent="0.25">
      <c r="B812" s="1"/>
      <c r="E812" s="2"/>
      <c r="H812" s="3"/>
      <c r="I812" s="3"/>
      <c r="K812" s="3"/>
      <c r="L812" s="3"/>
      <c r="X812" s="4"/>
      <c r="AA812" s="3"/>
      <c r="AB812" s="3"/>
      <c r="AE812" s="3"/>
      <c r="AK812" s="5"/>
    </row>
    <row r="813" spans="2:37" x14ac:dyDescent="0.25">
      <c r="B813" s="1"/>
      <c r="E813" s="2"/>
      <c r="F813" s="3"/>
      <c r="G813" s="3"/>
      <c r="H813" s="3"/>
      <c r="I813" s="3"/>
      <c r="K813" s="3"/>
      <c r="L813" s="3"/>
      <c r="X813" s="4"/>
      <c r="AB813" s="3"/>
      <c r="AK813" s="5"/>
    </row>
    <row r="814" spans="2:37" x14ac:dyDescent="0.25">
      <c r="B814" s="1"/>
      <c r="E814" s="2"/>
      <c r="H814" s="3"/>
      <c r="I814" s="3"/>
      <c r="K814" s="3"/>
      <c r="L814" s="3"/>
      <c r="X814" s="4"/>
      <c r="Z814" s="3"/>
      <c r="AB814" s="3"/>
      <c r="AE814" s="3"/>
      <c r="AK814" s="5"/>
    </row>
    <row r="815" spans="2:37" x14ac:dyDescent="0.25">
      <c r="B815" s="1"/>
      <c r="E815" s="2"/>
      <c r="G815" s="3"/>
      <c r="H815" s="3"/>
      <c r="I815" s="3"/>
      <c r="K815" s="3"/>
      <c r="L815" s="3"/>
      <c r="X815" s="4"/>
      <c r="AD815" s="3"/>
      <c r="AE815" s="3"/>
      <c r="AK815" s="5"/>
    </row>
    <row r="816" spans="2:37" x14ac:dyDescent="0.25">
      <c r="B816" s="1"/>
      <c r="E816" s="2"/>
      <c r="G816" s="3"/>
      <c r="H816" s="3"/>
      <c r="I816" s="3"/>
      <c r="K816" s="3"/>
      <c r="L816" s="3"/>
      <c r="X816" s="4"/>
      <c r="AD816" s="3"/>
      <c r="AE816" s="3"/>
      <c r="AK816" s="5"/>
    </row>
    <row r="817" spans="2:37" x14ac:dyDescent="0.25">
      <c r="B817" s="1"/>
      <c r="D817" s="3"/>
      <c r="E817" s="2"/>
      <c r="G817" s="3"/>
      <c r="H817" s="3"/>
      <c r="I817" s="3"/>
      <c r="K817" s="3"/>
      <c r="L817" s="3"/>
      <c r="X817" s="4"/>
      <c r="AD817" s="3"/>
      <c r="AE817" s="3"/>
      <c r="AK817" s="5"/>
    </row>
    <row r="818" spans="2:37" x14ac:dyDescent="0.25">
      <c r="B818" s="1"/>
      <c r="E818" s="2"/>
      <c r="H818" s="3"/>
      <c r="I818" s="3"/>
      <c r="K818" s="3"/>
      <c r="L818" s="3"/>
      <c r="X818" s="4"/>
      <c r="AK818" s="5"/>
    </row>
    <row r="819" spans="2:37" x14ac:dyDescent="0.25">
      <c r="B819" s="1"/>
      <c r="D819" s="3"/>
      <c r="E819" s="2"/>
      <c r="H819" s="3"/>
      <c r="I819" s="3"/>
      <c r="K819" s="3"/>
      <c r="L819" s="3"/>
      <c r="X819" s="4"/>
    </row>
    <row r="820" spans="2:37" x14ac:dyDescent="0.25">
      <c r="B820" s="3"/>
      <c r="E820" s="2"/>
      <c r="G820" s="3"/>
      <c r="H820" s="3"/>
      <c r="I820" s="3"/>
      <c r="K820" s="3"/>
      <c r="L820" s="3"/>
      <c r="X820" s="4"/>
      <c r="AD820" s="3"/>
      <c r="AE820" s="3"/>
      <c r="AK820" s="5"/>
    </row>
    <row r="821" spans="2:37" x14ac:dyDescent="0.25">
      <c r="B821" s="1"/>
      <c r="E821" s="2"/>
      <c r="H821" s="3"/>
      <c r="I821" s="3"/>
      <c r="K821" s="3"/>
      <c r="L821" s="3"/>
      <c r="X821" s="4"/>
      <c r="AB821" s="3"/>
      <c r="AE821" s="3"/>
      <c r="AK821" s="5"/>
    </row>
    <row r="822" spans="2:37" x14ac:dyDescent="0.25">
      <c r="B822" s="1"/>
      <c r="E822" s="2"/>
      <c r="G822" s="3"/>
      <c r="H822" s="3"/>
      <c r="I822" s="3"/>
      <c r="K822" s="3"/>
      <c r="L822" s="3"/>
      <c r="X822" s="4"/>
    </row>
    <row r="823" spans="2:37" x14ac:dyDescent="0.25">
      <c r="B823" s="1"/>
      <c r="E823" s="2"/>
      <c r="F823" s="3"/>
      <c r="G823" s="3"/>
      <c r="H823" s="3"/>
      <c r="I823" s="3"/>
      <c r="K823" s="3"/>
      <c r="L823" s="3"/>
      <c r="X823" s="4"/>
      <c r="AB823" s="3"/>
      <c r="AE823" s="3"/>
      <c r="AK823" s="5"/>
    </row>
    <row r="824" spans="2:37" x14ac:dyDescent="0.25">
      <c r="B824" s="1"/>
      <c r="E824" s="2"/>
      <c r="G824" s="3"/>
      <c r="H824" s="3"/>
      <c r="I824" s="3"/>
      <c r="K824" s="3"/>
      <c r="L824" s="3"/>
      <c r="X824" s="4"/>
    </row>
    <row r="825" spans="2:37" x14ac:dyDescent="0.25">
      <c r="B825" s="1"/>
      <c r="E825" s="2"/>
      <c r="F825" s="3"/>
      <c r="G825" s="3"/>
      <c r="H825" s="3"/>
      <c r="I825" s="3"/>
      <c r="K825" s="3"/>
      <c r="X825" s="4"/>
    </row>
    <row r="826" spans="2:37" x14ac:dyDescent="0.25">
      <c r="B826" s="1"/>
      <c r="E826" s="2"/>
      <c r="G826" s="3"/>
      <c r="H826" s="3"/>
      <c r="I826" s="3"/>
      <c r="K826" s="3"/>
      <c r="L826" s="3"/>
      <c r="X826" s="4"/>
      <c r="AE826" s="3"/>
      <c r="AK826" s="5"/>
    </row>
    <row r="827" spans="2:37" x14ac:dyDescent="0.25">
      <c r="B827" s="1"/>
      <c r="E827" s="2"/>
      <c r="G827" s="3"/>
      <c r="H827" s="3"/>
      <c r="I827" s="3"/>
      <c r="K827" s="3"/>
      <c r="X827" s="4"/>
      <c r="AK827" s="5"/>
    </row>
    <row r="828" spans="2:37" x14ac:dyDescent="0.25">
      <c r="B828" s="1"/>
      <c r="E828" s="2"/>
      <c r="H828" s="3"/>
      <c r="I828" s="3"/>
      <c r="K828" s="3"/>
      <c r="X828" s="4"/>
      <c r="AE828" s="3"/>
      <c r="AK828" s="5"/>
    </row>
    <row r="829" spans="2:37" x14ac:dyDescent="0.25">
      <c r="B829" s="3"/>
      <c r="E829" s="2"/>
      <c r="G829" s="3"/>
      <c r="H829" s="3"/>
      <c r="I829" s="3"/>
      <c r="K829" s="3"/>
      <c r="L829" s="3"/>
      <c r="X829" s="4"/>
      <c r="Z829" s="3"/>
      <c r="AE829" s="3"/>
      <c r="AK829" s="5"/>
    </row>
    <row r="830" spans="2:37" x14ac:dyDescent="0.25">
      <c r="B830" s="1"/>
      <c r="E830" s="2"/>
      <c r="H830" s="3"/>
      <c r="I830" s="3"/>
      <c r="K830" s="3"/>
      <c r="X830" s="4"/>
      <c r="AK830" s="5"/>
    </row>
    <row r="831" spans="2:37" x14ac:dyDescent="0.25">
      <c r="B831" s="1"/>
      <c r="E831" s="2"/>
      <c r="H831" s="3"/>
      <c r="I831" s="3"/>
      <c r="K831" s="3"/>
      <c r="X831" s="4"/>
      <c r="AK831" s="5"/>
    </row>
    <row r="832" spans="2:37" x14ac:dyDescent="0.25">
      <c r="B832" s="1"/>
      <c r="E832" s="2"/>
      <c r="H832" s="3"/>
      <c r="I832" s="3"/>
      <c r="K832" s="3"/>
      <c r="L832" s="3"/>
      <c r="X832" s="4"/>
      <c r="AK832" s="5"/>
    </row>
    <row r="833" spans="2:37" x14ac:dyDescent="0.25">
      <c r="B833" s="1"/>
      <c r="E833" s="2"/>
      <c r="G833" s="3"/>
      <c r="H833" s="3"/>
      <c r="I833" s="3"/>
      <c r="K833" s="3"/>
      <c r="L833" s="3"/>
      <c r="X833" s="4"/>
      <c r="AB833" s="3"/>
      <c r="AE833" s="3"/>
      <c r="AK833" s="5"/>
    </row>
    <row r="834" spans="2:37" x14ac:dyDescent="0.25">
      <c r="B834" s="1"/>
      <c r="E834" s="2"/>
      <c r="H834" s="3"/>
      <c r="I834" s="3"/>
      <c r="K834" s="3"/>
      <c r="X834" s="4"/>
      <c r="AK834" s="5"/>
    </row>
    <row r="835" spans="2:37" x14ac:dyDescent="0.25">
      <c r="B835" s="1"/>
      <c r="E835" s="2"/>
      <c r="H835" s="3"/>
      <c r="I835" s="3"/>
      <c r="K835" s="3"/>
      <c r="X835" s="4"/>
      <c r="AK835" s="5"/>
    </row>
    <row r="836" spans="2:37" x14ac:dyDescent="0.25">
      <c r="B836" s="1"/>
      <c r="E836" s="2"/>
      <c r="H836" s="3"/>
      <c r="I836" s="3"/>
      <c r="K836" s="3"/>
      <c r="L836" s="3"/>
      <c r="X836" s="4"/>
      <c r="Z836" s="3"/>
      <c r="AE836" s="3"/>
      <c r="AK836" s="5"/>
    </row>
    <row r="837" spans="2:37" x14ac:dyDescent="0.25">
      <c r="B837" s="1"/>
      <c r="E837" s="2"/>
      <c r="H837" s="3"/>
      <c r="I837" s="3"/>
      <c r="K837" s="3"/>
      <c r="X837" s="4"/>
      <c r="AK837" s="5"/>
    </row>
    <row r="838" spans="2:37" x14ac:dyDescent="0.25">
      <c r="B838" s="1"/>
      <c r="E838" s="2"/>
      <c r="H838" s="3"/>
      <c r="I838" s="3"/>
      <c r="K838" s="3"/>
      <c r="X838" s="4"/>
      <c r="AK838" s="5"/>
    </row>
    <row r="839" spans="2:37" x14ac:dyDescent="0.25">
      <c r="B839" s="1"/>
      <c r="E839" s="2"/>
      <c r="H839" s="3"/>
      <c r="I839" s="3"/>
      <c r="K839" s="3"/>
      <c r="L839" s="3"/>
      <c r="X839" s="4"/>
      <c r="AD839" s="3"/>
      <c r="AE839" s="3"/>
      <c r="AK839" s="5"/>
    </row>
    <row r="840" spans="2:37" x14ac:dyDescent="0.25">
      <c r="B840" s="1"/>
      <c r="E840" s="2"/>
      <c r="H840" s="3"/>
      <c r="I840" s="3"/>
      <c r="K840" s="3"/>
      <c r="L840" s="3"/>
      <c r="X840" s="4"/>
      <c r="AD840" s="3"/>
      <c r="AE840" s="3"/>
      <c r="AK840" s="5"/>
    </row>
    <row r="841" spans="2:37" x14ac:dyDescent="0.25">
      <c r="B841" s="1"/>
      <c r="E841" s="2"/>
      <c r="H841" s="3"/>
      <c r="I841" s="3"/>
      <c r="K841" s="3"/>
      <c r="L841" s="3"/>
      <c r="X841" s="4"/>
      <c r="Z841" s="3"/>
      <c r="AD841" s="3"/>
      <c r="AE841" s="3"/>
      <c r="AK841" s="5"/>
    </row>
    <row r="842" spans="2:37" x14ac:dyDescent="0.25">
      <c r="B842" s="1"/>
      <c r="E842" s="2"/>
      <c r="H842" s="3"/>
      <c r="I842" s="3"/>
      <c r="K842" s="3"/>
      <c r="L842" s="3"/>
      <c r="X842" s="4"/>
      <c r="Z842" s="3"/>
      <c r="AD842" s="3"/>
      <c r="AE842" s="3"/>
      <c r="AK842" s="5"/>
    </row>
    <row r="843" spans="2:37" x14ac:dyDescent="0.25">
      <c r="B843" s="1"/>
      <c r="D843" s="3"/>
      <c r="E843" s="2"/>
      <c r="G843" s="3"/>
      <c r="H843" s="3"/>
      <c r="I843" s="3"/>
      <c r="K843" s="3"/>
      <c r="L843" s="3"/>
      <c r="X843" s="4"/>
      <c r="AD843" s="3"/>
      <c r="AE843" s="3"/>
      <c r="AK843" s="5"/>
    </row>
    <row r="844" spans="2:37" x14ac:dyDescent="0.25">
      <c r="B844" s="1"/>
      <c r="E844" s="2"/>
      <c r="G844" s="3"/>
      <c r="H844" s="3"/>
      <c r="I844" s="3"/>
      <c r="K844" s="3"/>
      <c r="L844" s="3"/>
      <c r="X844" s="4"/>
      <c r="AD844" s="3"/>
      <c r="AE844" s="3"/>
      <c r="AK844" s="5"/>
    </row>
    <row r="845" spans="2:37" x14ac:dyDescent="0.25">
      <c r="B845" s="1"/>
      <c r="E845" s="2"/>
      <c r="G845" s="3"/>
      <c r="H845" s="3"/>
      <c r="I845" s="3"/>
      <c r="K845" s="3"/>
      <c r="L845" s="3"/>
      <c r="X845" s="4"/>
      <c r="AK845" s="5"/>
    </row>
    <row r="846" spans="2:37" x14ac:dyDescent="0.25">
      <c r="B846" s="1"/>
      <c r="E846" s="2"/>
      <c r="G846" s="3"/>
      <c r="H846" s="3"/>
      <c r="I846" s="3"/>
      <c r="K846" s="3"/>
      <c r="L846" s="3"/>
      <c r="X846" s="4"/>
      <c r="AD846" s="3"/>
      <c r="AE846" s="3"/>
      <c r="AK846" s="5"/>
    </row>
    <row r="847" spans="2:37" x14ac:dyDescent="0.25">
      <c r="B847" s="1"/>
      <c r="E847" s="2"/>
      <c r="G847" s="3"/>
      <c r="H847" s="3"/>
      <c r="I847" s="3"/>
      <c r="K847" s="3"/>
      <c r="L847" s="3"/>
      <c r="X847" s="4"/>
      <c r="AD847" s="3"/>
      <c r="AE847" s="3"/>
      <c r="AK847" s="5"/>
    </row>
    <row r="848" spans="2:37" x14ac:dyDescent="0.25">
      <c r="B848" s="1"/>
      <c r="E848" s="2"/>
      <c r="H848" s="3"/>
      <c r="I848" s="3"/>
      <c r="K848" s="3"/>
      <c r="L848" s="3"/>
      <c r="X848" s="4"/>
      <c r="AD848" s="3"/>
      <c r="AE848" s="3"/>
      <c r="AK848" s="5"/>
    </row>
    <row r="849" spans="2:37" x14ac:dyDescent="0.25">
      <c r="B849" s="1"/>
      <c r="E849" s="2"/>
      <c r="H849" s="3"/>
      <c r="I849" s="3"/>
      <c r="K849" s="3"/>
      <c r="L849" s="3"/>
      <c r="X849" s="4"/>
      <c r="AD849" s="3"/>
      <c r="AE849" s="3"/>
      <c r="AK849" s="5"/>
    </row>
    <row r="850" spans="2:37" x14ac:dyDescent="0.25">
      <c r="B850" s="1"/>
      <c r="E850" s="2"/>
      <c r="H850" s="3"/>
      <c r="I850" s="3"/>
      <c r="K850" s="3"/>
      <c r="L850" s="3"/>
      <c r="X850" s="4"/>
      <c r="AD850" s="3"/>
      <c r="AE850" s="3"/>
      <c r="AK850" s="5"/>
    </row>
    <row r="851" spans="2:37" x14ac:dyDescent="0.25">
      <c r="B851" s="3"/>
      <c r="E851" s="2"/>
      <c r="G851" s="3"/>
      <c r="H851" s="3"/>
      <c r="I851" s="3"/>
      <c r="K851" s="3"/>
      <c r="L851" s="3"/>
      <c r="X851" s="4"/>
      <c r="AD851" s="3"/>
      <c r="AE851" s="3"/>
      <c r="AK851" s="5"/>
    </row>
    <row r="852" spans="2:37" x14ac:dyDescent="0.25">
      <c r="B852" s="1"/>
      <c r="E852" s="2"/>
      <c r="H852" s="3"/>
      <c r="I852" s="3"/>
      <c r="K852" s="3"/>
      <c r="L852" s="3"/>
      <c r="X852" s="4"/>
      <c r="AD852" s="3"/>
      <c r="AE852" s="3"/>
      <c r="AK852" s="5"/>
    </row>
    <row r="853" spans="2:37" x14ac:dyDescent="0.25">
      <c r="B853" s="1"/>
      <c r="E853" s="2"/>
      <c r="F853" s="3"/>
      <c r="H853" s="3"/>
      <c r="I853" s="3"/>
      <c r="K853" s="3"/>
      <c r="L853" s="3"/>
      <c r="X853" s="4"/>
      <c r="AD853" s="3"/>
      <c r="AE853" s="3"/>
      <c r="AK853" s="5"/>
    </row>
    <row r="854" spans="2:37" x14ac:dyDescent="0.25">
      <c r="B854" s="1"/>
      <c r="E854" s="2"/>
      <c r="H854" s="3"/>
      <c r="I854" s="3"/>
      <c r="K854" s="3"/>
      <c r="L854" s="3"/>
      <c r="X854" s="4"/>
      <c r="AD854" s="3"/>
      <c r="AE854" s="3"/>
      <c r="AK854" s="5"/>
    </row>
    <row r="855" spans="2:37" x14ac:dyDescent="0.25">
      <c r="B855" s="1"/>
      <c r="E855" s="2"/>
      <c r="H855" s="3"/>
      <c r="I855" s="3"/>
      <c r="K855" s="3"/>
      <c r="L855" s="3"/>
      <c r="X855" s="4"/>
      <c r="Z855" s="3"/>
      <c r="AD855" s="3"/>
      <c r="AE855" s="3"/>
      <c r="AK855" s="5"/>
    </row>
    <row r="856" spans="2:37" x14ac:dyDescent="0.25">
      <c r="B856" s="1"/>
      <c r="E856" s="2"/>
      <c r="H856" s="3"/>
      <c r="I856" s="3"/>
      <c r="K856" s="3"/>
      <c r="L856" s="3"/>
      <c r="X856" s="4"/>
      <c r="Z856" s="3"/>
      <c r="AD856" s="3"/>
      <c r="AE856" s="3"/>
      <c r="AK856" s="5"/>
    </row>
    <row r="857" spans="2:37" x14ac:dyDescent="0.25">
      <c r="B857" s="1"/>
      <c r="E857" s="2"/>
      <c r="H857" s="3"/>
      <c r="I857" s="3"/>
      <c r="K857" s="3"/>
      <c r="L857" s="3"/>
      <c r="X857" s="4"/>
      <c r="AD857" s="3"/>
      <c r="AE857" s="3"/>
      <c r="AK857" s="5"/>
    </row>
    <row r="858" spans="2:37" x14ac:dyDescent="0.25">
      <c r="B858" s="1"/>
      <c r="E858" s="2"/>
      <c r="F858" s="3"/>
      <c r="G858" s="3"/>
      <c r="H858" s="3"/>
      <c r="I858" s="3"/>
      <c r="K858" s="3"/>
      <c r="L858" s="3"/>
      <c r="X858" s="4"/>
      <c r="AD858" s="3"/>
      <c r="AE858" s="3"/>
      <c r="AK858" s="5"/>
    </row>
    <row r="859" spans="2:37" x14ac:dyDescent="0.25">
      <c r="B859" s="1"/>
      <c r="E859" s="2"/>
      <c r="H859" s="3"/>
      <c r="I859" s="3"/>
      <c r="K859" s="3"/>
      <c r="L859" s="3"/>
      <c r="X859" s="4"/>
      <c r="AD859" s="3"/>
      <c r="AE859" s="3"/>
      <c r="AK859" s="5"/>
    </row>
    <row r="860" spans="2:37" x14ac:dyDescent="0.25">
      <c r="B860" s="1"/>
      <c r="E860" s="2"/>
      <c r="H860" s="3"/>
      <c r="I860" s="3"/>
      <c r="K860" s="3"/>
      <c r="L860" s="3"/>
      <c r="X860" s="4"/>
      <c r="AD860" s="3"/>
      <c r="AE860" s="3"/>
      <c r="AK860" s="5"/>
    </row>
    <row r="861" spans="2:37" x14ac:dyDescent="0.25">
      <c r="B861" s="1"/>
      <c r="E861" s="2"/>
      <c r="H861" s="3"/>
      <c r="I861" s="3"/>
      <c r="K861" s="3"/>
      <c r="L861" s="3"/>
      <c r="X861" s="4"/>
      <c r="AE861" s="3"/>
      <c r="AK861" s="5"/>
    </row>
    <row r="862" spans="2:37" x14ac:dyDescent="0.25">
      <c r="B862" s="1"/>
      <c r="E862" s="2"/>
      <c r="G862" s="3"/>
      <c r="H862" s="3"/>
      <c r="I862" s="3"/>
      <c r="K862" s="3"/>
      <c r="L862" s="3"/>
      <c r="X862" s="4"/>
      <c r="AD862" s="3"/>
      <c r="AE862" s="3"/>
      <c r="AK862" s="5"/>
    </row>
    <row r="863" spans="2:37" x14ac:dyDescent="0.25">
      <c r="B863" s="1"/>
      <c r="E863" s="2"/>
      <c r="H863" s="3"/>
      <c r="I863" s="3"/>
      <c r="K863" s="3"/>
      <c r="L863" s="3"/>
      <c r="X863" s="4"/>
      <c r="AK863" s="5"/>
    </row>
    <row r="864" spans="2:37" x14ac:dyDescent="0.25">
      <c r="B864" s="1"/>
      <c r="E864" s="2"/>
      <c r="H864" s="3"/>
      <c r="I864" s="3"/>
      <c r="K864" s="3"/>
      <c r="L864" s="3"/>
      <c r="X864" s="4"/>
      <c r="Z864" s="3"/>
      <c r="AD864" s="3"/>
      <c r="AE864" s="3"/>
      <c r="AK864" s="5"/>
    </row>
    <row r="865" spans="2:37" x14ac:dyDescent="0.25">
      <c r="B865" s="1"/>
      <c r="E865" s="2"/>
      <c r="H865" s="3"/>
      <c r="I865" s="3"/>
      <c r="K865" s="3"/>
      <c r="L865" s="3"/>
      <c r="X865" s="4"/>
      <c r="Z865" s="3"/>
      <c r="AD865" s="3"/>
      <c r="AE865" s="3"/>
      <c r="AK865" s="5"/>
    </row>
    <row r="866" spans="2:37" x14ac:dyDescent="0.25">
      <c r="B866" s="1"/>
      <c r="E866" s="2"/>
      <c r="F866" s="3"/>
      <c r="G866" s="3"/>
      <c r="H866" s="3"/>
      <c r="I866" s="3"/>
      <c r="K866" s="3"/>
      <c r="L866" s="3"/>
      <c r="X866" s="4"/>
      <c r="Z866" s="3"/>
      <c r="AE866" s="3"/>
      <c r="AK866" s="5"/>
    </row>
    <row r="867" spans="2:37" x14ac:dyDescent="0.25">
      <c r="B867" s="1"/>
      <c r="E867" s="2"/>
      <c r="H867" s="3"/>
      <c r="I867" s="3"/>
      <c r="K867" s="3"/>
      <c r="L867" s="3"/>
      <c r="X867" s="4"/>
      <c r="AB867" s="3"/>
      <c r="AE867" s="3"/>
      <c r="AK867" s="5"/>
    </row>
    <row r="868" spans="2:37" x14ac:dyDescent="0.25">
      <c r="B868" s="3"/>
      <c r="E868" s="2"/>
      <c r="G868" s="3"/>
      <c r="H868" s="3"/>
      <c r="I868" s="3"/>
      <c r="K868" s="3"/>
      <c r="L868" s="3"/>
      <c r="X868" s="4"/>
      <c r="Z868" s="3"/>
      <c r="AK868" s="5"/>
    </row>
    <row r="869" spans="2:37" x14ac:dyDescent="0.25">
      <c r="B869" s="1"/>
      <c r="E869" s="2"/>
      <c r="H869" s="3"/>
      <c r="I869" s="3"/>
      <c r="K869" s="3"/>
      <c r="L869" s="3"/>
      <c r="X869" s="4"/>
      <c r="Z869" s="3"/>
      <c r="AB869" s="3"/>
      <c r="AE869" s="3"/>
      <c r="AK869" s="5"/>
    </row>
    <row r="870" spans="2:37" x14ac:dyDescent="0.25">
      <c r="B870" s="1"/>
      <c r="E870" s="2"/>
      <c r="G870" s="3"/>
      <c r="H870" s="3"/>
      <c r="I870" s="3"/>
      <c r="K870" s="3"/>
      <c r="L870" s="3"/>
      <c r="X870" s="4"/>
      <c r="AK870" s="5"/>
    </row>
    <row r="871" spans="2:37" x14ac:dyDescent="0.25">
      <c r="B871" s="1"/>
      <c r="D871" s="3"/>
      <c r="E871" s="2"/>
      <c r="G871" s="3"/>
      <c r="H871" s="3"/>
      <c r="I871" s="3"/>
      <c r="K871" s="3"/>
      <c r="L871" s="3"/>
      <c r="X871" s="4"/>
      <c r="AB871" s="3"/>
      <c r="AK871" s="5"/>
    </row>
    <row r="872" spans="2:37" x14ac:dyDescent="0.25">
      <c r="B872" s="1"/>
      <c r="E872" s="2"/>
      <c r="G872" s="3"/>
      <c r="H872" s="3"/>
      <c r="I872" s="3"/>
      <c r="K872" s="3"/>
      <c r="L872" s="3"/>
      <c r="X872" s="4"/>
      <c r="Z872" s="3"/>
      <c r="AB872" s="3"/>
      <c r="AE872" s="3"/>
      <c r="AK872" s="5"/>
    </row>
    <row r="873" spans="2:37" x14ac:dyDescent="0.25">
      <c r="B873" s="1"/>
      <c r="E873" s="2"/>
      <c r="H873" s="3"/>
      <c r="I873" s="3"/>
      <c r="K873" s="3"/>
      <c r="L873" s="3"/>
      <c r="X873" s="4"/>
      <c r="Z873" s="3"/>
      <c r="AB873" s="3"/>
      <c r="AE873" s="3"/>
      <c r="AK873" s="5"/>
    </row>
    <row r="874" spans="2:37" x14ac:dyDescent="0.25">
      <c r="B874" s="1"/>
      <c r="E874" s="2"/>
      <c r="H874" s="3"/>
      <c r="I874" s="3"/>
      <c r="K874" s="3"/>
      <c r="X874" s="4"/>
      <c r="AK874" s="5"/>
    </row>
    <row r="875" spans="2:37" x14ac:dyDescent="0.25">
      <c r="B875" s="1"/>
      <c r="E875" s="2"/>
      <c r="H875" s="3"/>
      <c r="I875" s="3"/>
      <c r="K875" s="3"/>
      <c r="L875" s="3"/>
      <c r="X875" s="4"/>
      <c r="AA875" s="3"/>
      <c r="AD875" s="3"/>
      <c r="AE875" s="3"/>
      <c r="AK875" s="5"/>
    </row>
    <row r="876" spans="2:37" x14ac:dyDescent="0.25">
      <c r="B876" s="1"/>
      <c r="E876" s="2"/>
      <c r="H876" s="3"/>
      <c r="I876" s="3"/>
      <c r="K876" s="3"/>
      <c r="L876" s="3"/>
      <c r="X876" s="4"/>
      <c r="AA876" s="3"/>
      <c r="AK876" s="5"/>
    </row>
    <row r="877" spans="2:37" x14ac:dyDescent="0.25">
      <c r="B877" s="3"/>
      <c r="E877" s="2"/>
      <c r="G877" s="3"/>
      <c r="H877" s="3"/>
      <c r="I877" s="3"/>
      <c r="K877" s="3"/>
      <c r="X877" s="4"/>
      <c r="AK877" s="5"/>
    </row>
    <row r="878" spans="2:37" x14ac:dyDescent="0.25">
      <c r="B878" s="1"/>
      <c r="E878" s="2"/>
      <c r="F878" s="3"/>
      <c r="G878" s="3"/>
      <c r="H878" s="3"/>
      <c r="I878" s="3"/>
      <c r="K878" s="3"/>
      <c r="L878" s="3"/>
      <c r="X878" s="4"/>
      <c r="Z878" s="3"/>
      <c r="AE878" s="3"/>
      <c r="AK878" s="5"/>
    </row>
    <row r="879" spans="2:37" x14ac:dyDescent="0.25">
      <c r="B879" s="1"/>
      <c r="E879" s="2"/>
      <c r="H879" s="3"/>
      <c r="I879" s="3"/>
      <c r="K879" s="3"/>
      <c r="L879" s="3"/>
      <c r="X879" s="4"/>
    </row>
    <row r="880" spans="2:37" x14ac:dyDescent="0.25">
      <c r="B880" s="3"/>
      <c r="G880" s="3"/>
    </row>
    <row r="881" spans="2:37" x14ac:dyDescent="0.25">
      <c r="B881" s="1"/>
      <c r="E881" s="2"/>
      <c r="H881" s="3"/>
      <c r="I881" s="3"/>
      <c r="K881" s="3"/>
      <c r="L881" s="3"/>
      <c r="X881" s="4"/>
      <c r="AK881" s="5"/>
    </row>
    <row r="882" spans="2:37" x14ac:dyDescent="0.25">
      <c r="B882" s="3"/>
      <c r="D882" s="3"/>
      <c r="E882" s="2"/>
      <c r="G882" s="3"/>
      <c r="H882" s="3"/>
      <c r="I882" s="3"/>
      <c r="K882" s="3"/>
      <c r="L882" s="3"/>
      <c r="X882" s="4"/>
      <c r="AB882" s="3"/>
      <c r="AK882" s="5"/>
    </row>
    <row r="883" spans="2:37" x14ac:dyDescent="0.25">
      <c r="B883" s="1"/>
      <c r="E883" s="2"/>
      <c r="H883" s="3"/>
      <c r="I883" s="3"/>
      <c r="K883" s="3"/>
      <c r="X883" s="4"/>
      <c r="AE883" s="3"/>
      <c r="AK883" s="5"/>
    </row>
    <row r="884" spans="2:37" x14ac:dyDescent="0.25">
      <c r="B884" s="1"/>
      <c r="E884" s="2"/>
      <c r="H884" s="3"/>
      <c r="I884" s="3"/>
      <c r="K884" s="3"/>
      <c r="L884" s="3"/>
      <c r="X884" s="4"/>
      <c r="Z884" s="3"/>
      <c r="AE884" s="3"/>
      <c r="AK884" s="5"/>
    </row>
    <row r="885" spans="2:37" x14ac:dyDescent="0.25">
      <c r="B885" s="1"/>
      <c r="E885" s="2"/>
      <c r="H885" s="3"/>
      <c r="I885" s="3"/>
      <c r="K885" s="3"/>
      <c r="L885" s="3"/>
      <c r="X885" s="4"/>
      <c r="Z885" s="3"/>
      <c r="AE885" s="3"/>
      <c r="AK885" s="5"/>
    </row>
    <row r="886" spans="2:37" x14ac:dyDescent="0.25">
      <c r="B886" s="1"/>
      <c r="E886" s="2"/>
      <c r="H886" s="3"/>
      <c r="I886" s="3"/>
      <c r="K886" s="3"/>
      <c r="X886" s="4"/>
      <c r="AK886" s="5"/>
    </row>
    <row r="887" spans="2:37" x14ac:dyDescent="0.25">
      <c r="B887" s="1"/>
      <c r="E887" s="2"/>
      <c r="G887" s="3"/>
      <c r="H887" s="3"/>
      <c r="I887" s="3"/>
      <c r="K887" s="3"/>
      <c r="X887" s="4"/>
      <c r="AK887" s="5"/>
    </row>
    <row r="888" spans="2:37" x14ac:dyDescent="0.25">
      <c r="B888" s="1"/>
      <c r="E888" s="2"/>
      <c r="H888" s="3"/>
      <c r="I888" s="3"/>
      <c r="K888" s="3"/>
      <c r="L888" s="3"/>
      <c r="X888" s="4"/>
      <c r="Z888" s="3"/>
      <c r="AE888" s="3"/>
      <c r="AK888" s="5"/>
    </row>
    <row r="889" spans="2:37" x14ac:dyDescent="0.25">
      <c r="B889" s="1"/>
      <c r="E889" s="2"/>
      <c r="H889" s="3"/>
      <c r="I889" s="3"/>
      <c r="K889" s="3"/>
      <c r="L889" s="3"/>
      <c r="X889" s="4"/>
      <c r="AE889" s="3"/>
      <c r="AK889" s="5"/>
    </row>
    <row r="890" spans="2:37" x14ac:dyDescent="0.25">
      <c r="B890" s="1"/>
      <c r="E890" s="2"/>
      <c r="H890" s="3"/>
      <c r="I890" s="3"/>
      <c r="K890" s="3"/>
      <c r="X890" s="4"/>
      <c r="AK890" s="5"/>
    </row>
    <row r="891" spans="2:37" x14ac:dyDescent="0.25">
      <c r="B891" s="1"/>
      <c r="E891" s="2"/>
      <c r="H891" s="3"/>
      <c r="I891" s="3"/>
      <c r="K891" s="3"/>
      <c r="L891" s="3"/>
      <c r="X891" s="4"/>
      <c r="Z891" s="3"/>
      <c r="AE891" s="3"/>
      <c r="AK891" s="5"/>
    </row>
    <row r="892" spans="2:37" x14ac:dyDescent="0.25">
      <c r="B892" s="1"/>
      <c r="E892" s="2"/>
      <c r="H892" s="3"/>
      <c r="I892" s="3"/>
      <c r="K892" s="3"/>
      <c r="X892" s="4"/>
      <c r="AK892" s="5"/>
    </row>
    <row r="893" spans="2:37" x14ac:dyDescent="0.25">
      <c r="B893" s="1"/>
      <c r="E893" s="2"/>
      <c r="H893" s="3"/>
      <c r="I893" s="3"/>
      <c r="K893" s="3"/>
      <c r="L893" s="3"/>
      <c r="X893" s="4"/>
      <c r="AD893" s="3"/>
      <c r="AE893" s="3"/>
      <c r="AK893" s="5"/>
    </row>
    <row r="894" spans="2:37" x14ac:dyDescent="0.25">
      <c r="B894" s="1"/>
      <c r="E894" s="2"/>
      <c r="H894" s="3"/>
      <c r="I894" s="3"/>
      <c r="K894" s="3"/>
      <c r="L894" s="3"/>
      <c r="X894" s="4"/>
      <c r="AB894" s="3"/>
      <c r="AE894" s="3"/>
      <c r="AK894" s="5"/>
    </row>
    <row r="895" spans="2:37" x14ac:dyDescent="0.25">
      <c r="B895" s="1"/>
      <c r="E895" s="2"/>
      <c r="F895" s="3"/>
      <c r="G895" s="3"/>
      <c r="H895" s="3"/>
      <c r="I895" s="3"/>
      <c r="K895" s="3"/>
      <c r="L895" s="3"/>
      <c r="X895" s="4"/>
      <c r="Z895" s="3"/>
      <c r="AB895" s="3"/>
      <c r="AE895" s="3"/>
      <c r="AK895" s="5"/>
    </row>
    <row r="896" spans="2:37" x14ac:dyDescent="0.25">
      <c r="B896" s="1"/>
      <c r="E896" s="2"/>
      <c r="H896" s="3"/>
      <c r="I896" s="3"/>
      <c r="K896" s="3"/>
      <c r="L896" s="3"/>
      <c r="X896" s="4"/>
      <c r="AB896" s="3"/>
      <c r="AE896" s="3"/>
      <c r="AK896" s="5"/>
    </row>
    <row r="897" spans="2:37" x14ac:dyDescent="0.25">
      <c r="B897" s="1"/>
      <c r="E897" s="2"/>
      <c r="F897" s="3"/>
      <c r="G897" s="3"/>
      <c r="H897" s="3"/>
      <c r="I897" s="3"/>
      <c r="K897" s="3"/>
      <c r="L897" s="3"/>
      <c r="X897" s="4"/>
      <c r="AB897" s="3"/>
      <c r="AE897" s="3"/>
      <c r="AK897" s="5"/>
    </row>
    <row r="898" spans="2:37" x14ac:dyDescent="0.25">
      <c r="B898" s="1"/>
      <c r="E898" s="2"/>
      <c r="H898" s="3"/>
      <c r="I898" s="3"/>
      <c r="K898" s="3"/>
      <c r="L898" s="3"/>
      <c r="X898" s="4"/>
      <c r="AB898" s="3"/>
      <c r="AE898" s="3"/>
      <c r="AK898" s="5"/>
    </row>
    <row r="899" spans="2:37" x14ac:dyDescent="0.25">
      <c r="B899" s="1"/>
      <c r="E899" s="2"/>
      <c r="F899" s="3"/>
      <c r="G899" s="3"/>
      <c r="H899" s="3"/>
      <c r="I899" s="3"/>
      <c r="K899" s="3"/>
      <c r="L899" s="3"/>
      <c r="X899" s="4"/>
      <c r="AB899" s="3"/>
      <c r="AK899" s="5"/>
    </row>
    <row r="900" spans="2:37" x14ac:dyDescent="0.25">
      <c r="B900" s="1"/>
      <c r="E900" s="2"/>
      <c r="H900" s="3"/>
      <c r="I900" s="3"/>
      <c r="K900" s="3"/>
      <c r="L900" s="3"/>
      <c r="X900" s="4"/>
      <c r="AB900" s="3"/>
      <c r="AD900" s="3"/>
      <c r="AE900" s="3"/>
      <c r="AK900" s="5"/>
    </row>
    <row r="901" spans="2:37" x14ac:dyDescent="0.25">
      <c r="B901" s="1"/>
      <c r="E901" s="2"/>
      <c r="G901" s="3"/>
      <c r="H901" s="3"/>
      <c r="I901" s="3"/>
      <c r="K901" s="3"/>
      <c r="L901" s="3"/>
      <c r="X901" s="4"/>
      <c r="AK901" s="5"/>
    </row>
    <row r="902" spans="2:37" x14ac:dyDescent="0.25">
      <c r="B902" s="1"/>
      <c r="E902" s="2"/>
      <c r="F902" s="3"/>
      <c r="G902" s="3"/>
      <c r="H902" s="3"/>
      <c r="I902" s="3"/>
      <c r="K902" s="3"/>
      <c r="L902" s="3"/>
      <c r="X902" s="4"/>
      <c r="AB902" s="3"/>
      <c r="AE902" s="3"/>
      <c r="AK902" s="5"/>
    </row>
    <row r="903" spans="2:37" x14ac:dyDescent="0.25">
      <c r="B903" s="1"/>
      <c r="E903" s="2"/>
      <c r="H903" s="3"/>
      <c r="I903" s="3"/>
      <c r="K903" s="3"/>
      <c r="L903" s="3"/>
      <c r="X903" s="4"/>
      <c r="AB903" s="3"/>
      <c r="AE903" s="3"/>
      <c r="AK903" s="5"/>
    </row>
    <row r="904" spans="2:37" x14ac:dyDescent="0.25">
      <c r="B904" s="1"/>
      <c r="E904" s="2"/>
      <c r="F904" s="3"/>
      <c r="G904" s="3"/>
      <c r="H904" s="3"/>
      <c r="I904" s="3"/>
      <c r="K904" s="3"/>
      <c r="L904" s="3"/>
      <c r="X904" s="4"/>
      <c r="AB904" s="3"/>
      <c r="AE904" s="3"/>
      <c r="AK904" s="5"/>
    </row>
    <row r="905" spans="2:37" x14ac:dyDescent="0.25">
      <c r="B905" s="1"/>
      <c r="E905" s="2"/>
      <c r="H905" s="3"/>
      <c r="I905" s="3"/>
      <c r="K905" s="3"/>
      <c r="L905" s="3"/>
      <c r="X905" s="4"/>
      <c r="Z905" s="3"/>
      <c r="AB905" s="3"/>
      <c r="AE905" s="3"/>
      <c r="AK905" s="5"/>
    </row>
    <row r="906" spans="2:37" x14ac:dyDescent="0.25">
      <c r="B906" s="1"/>
      <c r="E906" s="2"/>
      <c r="F906" s="3"/>
      <c r="G906" s="3"/>
      <c r="H906" s="3"/>
      <c r="I906" s="3"/>
      <c r="K906" s="3"/>
      <c r="L906" s="3"/>
      <c r="X906" s="4"/>
      <c r="AB906" s="3"/>
      <c r="AE906" s="3"/>
      <c r="AK906" s="5"/>
    </row>
    <row r="907" spans="2:37" x14ac:dyDescent="0.25">
      <c r="B907" s="1"/>
      <c r="E907" s="2"/>
      <c r="H907" s="3"/>
      <c r="I907" s="3"/>
      <c r="K907" s="3"/>
      <c r="L907" s="3"/>
      <c r="X907" s="4"/>
      <c r="AE907" s="3"/>
      <c r="AK907" s="5"/>
    </row>
    <row r="908" spans="2:37" x14ac:dyDescent="0.25">
      <c r="B908" s="3"/>
      <c r="E908" s="2"/>
      <c r="F908" s="3"/>
      <c r="G908" s="3"/>
      <c r="H908" s="3"/>
      <c r="I908" s="3"/>
      <c r="K908" s="3"/>
      <c r="L908" s="3"/>
      <c r="X908" s="4"/>
      <c r="AB908" s="3"/>
      <c r="AE908" s="3"/>
      <c r="AK908" s="5"/>
    </row>
    <row r="909" spans="2:37" x14ac:dyDescent="0.25">
      <c r="B909" s="1"/>
      <c r="E909" s="2"/>
      <c r="H909" s="3"/>
      <c r="I909" s="3"/>
      <c r="K909" s="3"/>
      <c r="L909" s="3"/>
      <c r="X909" s="4"/>
      <c r="AB909" s="3"/>
      <c r="AE909" s="3"/>
      <c r="AK909" s="5"/>
    </row>
    <row r="910" spans="2:37" x14ac:dyDescent="0.25">
      <c r="B910" s="1"/>
      <c r="E910" s="2"/>
      <c r="G910" s="3"/>
      <c r="H910" s="3"/>
      <c r="I910" s="3"/>
      <c r="K910" s="3"/>
      <c r="L910" s="3"/>
      <c r="X910" s="4"/>
      <c r="AB910" s="3"/>
      <c r="AE910" s="3"/>
      <c r="AK910" s="5"/>
    </row>
    <row r="911" spans="2:37" x14ac:dyDescent="0.25">
      <c r="B911" s="1"/>
      <c r="E911" s="2"/>
      <c r="H911" s="3"/>
      <c r="I911" s="3"/>
      <c r="K911" s="3"/>
      <c r="L911" s="3"/>
      <c r="X911" s="4"/>
      <c r="AB911" s="3"/>
      <c r="AE911" s="3"/>
      <c r="AK911" s="5"/>
    </row>
    <row r="912" spans="2:37" x14ac:dyDescent="0.25">
      <c r="B912" s="1"/>
      <c r="E912" s="2"/>
      <c r="G912" s="3"/>
      <c r="H912" s="3"/>
      <c r="I912" s="3"/>
      <c r="K912" s="3"/>
      <c r="L912" s="3"/>
      <c r="X912" s="4"/>
      <c r="Z912" s="3"/>
      <c r="AB912" s="3"/>
      <c r="AE912" s="3"/>
      <c r="AK912" s="5"/>
    </row>
    <row r="913" spans="2:37" x14ac:dyDescent="0.25">
      <c r="B913" s="1"/>
      <c r="E913" s="2"/>
      <c r="H913" s="3"/>
      <c r="I913" s="3"/>
      <c r="K913" s="3"/>
      <c r="L913" s="3"/>
      <c r="X913" s="4"/>
      <c r="AB913" s="3"/>
      <c r="AE913" s="3"/>
      <c r="AK913" s="5"/>
    </row>
    <row r="914" spans="2:37" x14ac:dyDescent="0.25">
      <c r="B914" s="1"/>
      <c r="E914" s="2"/>
      <c r="H914" s="3"/>
      <c r="I914" s="3"/>
      <c r="K914" s="3"/>
      <c r="L914" s="3"/>
      <c r="X914" s="4"/>
      <c r="Z914" s="3"/>
      <c r="AB914" s="3"/>
      <c r="AE914" s="3"/>
      <c r="AK914" s="5"/>
    </row>
    <row r="915" spans="2:37" x14ac:dyDescent="0.25">
      <c r="B915" s="1"/>
      <c r="E915" s="2"/>
      <c r="H915" s="3"/>
      <c r="I915" s="3"/>
      <c r="K915" s="3"/>
      <c r="L915" s="3"/>
      <c r="X915" s="4"/>
      <c r="Z915" s="3"/>
      <c r="AB915" s="3"/>
      <c r="AE915" s="3"/>
      <c r="AK915" s="5"/>
    </row>
    <row r="916" spans="2:37" x14ac:dyDescent="0.25">
      <c r="B916" s="1"/>
      <c r="E916" s="2"/>
      <c r="G916" s="3"/>
      <c r="H916" s="3"/>
      <c r="I916" s="3"/>
      <c r="K916" s="3"/>
      <c r="L916" s="3"/>
      <c r="X916" s="4"/>
    </row>
    <row r="917" spans="2:37" x14ac:dyDescent="0.25">
      <c r="B917" s="1"/>
      <c r="E917" s="2"/>
      <c r="G917" s="3"/>
      <c r="H917" s="3"/>
      <c r="I917" s="3"/>
      <c r="K917" s="3"/>
      <c r="L917" s="3"/>
      <c r="X917" s="4"/>
    </row>
    <row r="918" spans="2:37" x14ac:dyDescent="0.25">
      <c r="B918" s="3"/>
      <c r="D918" s="3"/>
      <c r="E918" s="2"/>
      <c r="G918" s="3"/>
      <c r="H918" s="3"/>
      <c r="I918" s="3"/>
      <c r="K918" s="3"/>
      <c r="L918" s="3"/>
      <c r="X918" s="4"/>
    </row>
    <row r="919" spans="2:37" x14ac:dyDescent="0.25">
      <c r="B919" s="1"/>
      <c r="E919" s="2"/>
      <c r="F919" s="3"/>
      <c r="G919" s="3"/>
      <c r="H919" s="3"/>
      <c r="I919" s="3"/>
      <c r="K919" s="3"/>
      <c r="L919" s="3"/>
      <c r="X919" s="4"/>
      <c r="Z919" s="3"/>
      <c r="AE919" s="3"/>
      <c r="AK919" s="5"/>
    </row>
    <row r="920" spans="2:37" x14ac:dyDescent="0.25">
      <c r="B920" s="1"/>
      <c r="D920" s="3"/>
      <c r="E920" s="2"/>
      <c r="G920" s="3"/>
      <c r="H920" s="3"/>
      <c r="I920" s="3"/>
      <c r="K920" s="3"/>
      <c r="L920" s="3"/>
      <c r="X920" s="4"/>
    </row>
    <row r="921" spans="2:37" x14ac:dyDescent="0.25">
      <c r="B921" s="1"/>
      <c r="E921" s="2"/>
      <c r="G921" s="3"/>
      <c r="H921" s="3"/>
      <c r="I921" s="3"/>
      <c r="K921" s="3"/>
      <c r="L921" s="3"/>
      <c r="X921" s="4"/>
      <c r="Z921" s="3"/>
      <c r="AD921" s="3"/>
      <c r="AE921" s="3"/>
      <c r="AK921" s="5"/>
    </row>
    <row r="922" spans="2:37" x14ac:dyDescent="0.25">
      <c r="B922" s="1"/>
      <c r="E922" s="2"/>
      <c r="H922" s="3"/>
      <c r="I922" s="3"/>
      <c r="K922" s="3"/>
      <c r="L922" s="3"/>
      <c r="X922" s="4"/>
      <c r="Z922" s="3"/>
      <c r="AA922" s="3"/>
      <c r="AB922" s="3"/>
      <c r="AE922" s="3"/>
      <c r="AK922" s="5"/>
    </row>
    <row r="923" spans="2:37" x14ac:dyDescent="0.25">
      <c r="B923" s="1"/>
      <c r="E923" s="2"/>
      <c r="H923" s="3"/>
      <c r="I923" s="3"/>
      <c r="K923" s="3"/>
      <c r="L923" s="3"/>
      <c r="X923" s="4"/>
      <c r="AD923" s="3"/>
      <c r="AE923" s="3"/>
      <c r="AK923" s="5"/>
    </row>
    <row r="924" spans="2:37" x14ac:dyDescent="0.25">
      <c r="B924" s="1"/>
      <c r="D924" s="3"/>
      <c r="E924" s="2"/>
      <c r="G924" s="3"/>
      <c r="H924" s="3"/>
      <c r="I924" s="3"/>
      <c r="K924" s="3"/>
      <c r="X924" s="4"/>
      <c r="AK924" s="5"/>
    </row>
    <row r="925" spans="2:37" x14ac:dyDescent="0.25">
      <c r="B925" s="1"/>
      <c r="E925" s="2"/>
      <c r="H925" s="3"/>
      <c r="I925" s="3"/>
      <c r="K925" s="3"/>
      <c r="L925" s="3"/>
      <c r="X925" s="4"/>
      <c r="Z925" s="3"/>
      <c r="AD925" s="3"/>
      <c r="AE925" s="3"/>
      <c r="AK925" s="5"/>
    </row>
    <row r="926" spans="2:37" x14ac:dyDescent="0.25">
      <c r="B926" s="3"/>
      <c r="E926" s="2"/>
      <c r="G926" s="3"/>
      <c r="H926" s="3"/>
      <c r="I926" s="3"/>
      <c r="K926" s="3"/>
      <c r="L926" s="3"/>
      <c r="X926" s="4"/>
      <c r="AD926" s="3"/>
      <c r="AE926" s="3"/>
      <c r="AK926" s="5"/>
    </row>
    <row r="927" spans="2:37" x14ac:dyDescent="0.25">
      <c r="B927" s="1"/>
      <c r="E927" s="2"/>
      <c r="H927" s="3"/>
      <c r="I927" s="3"/>
      <c r="K927" s="3"/>
      <c r="L927" s="3"/>
      <c r="X927" s="4"/>
      <c r="AD927" s="3"/>
      <c r="AE927" s="3"/>
      <c r="AK927" s="5"/>
    </row>
    <row r="928" spans="2:37" x14ac:dyDescent="0.25">
      <c r="B928" s="1"/>
      <c r="E928" s="2"/>
      <c r="H928" s="3"/>
      <c r="I928" s="3"/>
      <c r="K928" s="3"/>
      <c r="L928" s="3"/>
      <c r="X928" s="4"/>
      <c r="AA928" s="3"/>
      <c r="AD928" s="3"/>
      <c r="AE928" s="3"/>
      <c r="AK928" s="5"/>
    </row>
    <row r="929" spans="2:37" x14ac:dyDescent="0.25">
      <c r="B929" s="1"/>
      <c r="E929" s="2"/>
      <c r="H929" s="3"/>
      <c r="I929" s="3"/>
      <c r="K929" s="3"/>
      <c r="L929" s="3"/>
      <c r="X929" s="4"/>
      <c r="AE929" s="3"/>
      <c r="AK929" s="5"/>
    </row>
    <row r="930" spans="2:37" x14ac:dyDescent="0.25">
      <c r="B930" s="1"/>
      <c r="E930" s="2"/>
      <c r="H930" s="3"/>
      <c r="I930" s="3"/>
      <c r="K930" s="3"/>
      <c r="L930" s="3"/>
      <c r="X930" s="4"/>
      <c r="AB930" s="3"/>
      <c r="AE930" s="3"/>
      <c r="AK930" s="5"/>
    </row>
    <row r="931" spans="2:37" x14ac:dyDescent="0.25">
      <c r="B931" s="1"/>
      <c r="E931" s="2"/>
      <c r="H931" s="3"/>
      <c r="I931" s="3"/>
      <c r="K931" s="3"/>
      <c r="L931" s="3"/>
      <c r="X931" s="4"/>
      <c r="Z931" s="3"/>
      <c r="AE931" s="3"/>
      <c r="AK931" s="5"/>
    </row>
    <row r="932" spans="2:37" x14ac:dyDescent="0.25">
      <c r="B932" s="1"/>
      <c r="E932" s="2"/>
      <c r="H932" s="3"/>
      <c r="I932" s="3"/>
      <c r="K932" s="3"/>
      <c r="L932" s="3"/>
      <c r="X932" s="4"/>
      <c r="Z932" s="3"/>
      <c r="AE932" s="3"/>
      <c r="AK932" s="5"/>
    </row>
    <row r="933" spans="2:37" x14ac:dyDescent="0.25">
      <c r="B933" s="1"/>
      <c r="D933" s="3"/>
      <c r="E933" s="2"/>
      <c r="G933" s="3"/>
      <c r="H933" s="3"/>
      <c r="I933" s="3"/>
      <c r="K933" s="3"/>
      <c r="L933" s="3"/>
      <c r="X933" s="4"/>
      <c r="Z933" s="3"/>
      <c r="AE933" s="3"/>
      <c r="AK933" s="5"/>
    </row>
    <row r="934" spans="2:37" x14ac:dyDescent="0.25">
      <c r="B934" s="1"/>
      <c r="E934" s="2"/>
      <c r="H934" s="3"/>
      <c r="I934" s="3"/>
      <c r="K934" s="3"/>
      <c r="L934" s="3"/>
      <c r="X934" s="4"/>
      <c r="AK934" s="5"/>
    </row>
    <row r="935" spans="2:37" x14ac:dyDescent="0.25">
      <c r="B935" s="1"/>
      <c r="E935" s="2"/>
      <c r="F935" s="3"/>
      <c r="G935" s="3"/>
      <c r="H935" s="3"/>
      <c r="I935" s="3"/>
      <c r="K935" s="3"/>
      <c r="X935" s="4"/>
      <c r="AE935" s="3"/>
      <c r="AK935" s="5"/>
    </row>
    <row r="936" spans="2:37" x14ac:dyDescent="0.25">
      <c r="B936" s="1"/>
      <c r="E936" s="2"/>
      <c r="H936" s="3"/>
      <c r="I936" s="3"/>
      <c r="K936" s="3"/>
      <c r="L936" s="3"/>
      <c r="X936" s="4"/>
      <c r="Z936" s="3"/>
      <c r="AE936" s="3"/>
      <c r="AK936" s="5"/>
    </row>
    <row r="937" spans="2:37" x14ac:dyDescent="0.25">
      <c r="B937" s="1"/>
      <c r="D937" s="3"/>
      <c r="E937" s="2"/>
      <c r="G937" s="3"/>
      <c r="H937" s="3"/>
      <c r="I937" s="3"/>
      <c r="K937" s="3"/>
      <c r="L937" s="3"/>
      <c r="X937" s="4"/>
      <c r="Z937" s="3"/>
      <c r="AE937" s="3"/>
      <c r="AK937" s="5"/>
    </row>
    <row r="938" spans="2:37" x14ac:dyDescent="0.25">
      <c r="B938" s="1"/>
      <c r="E938" s="2"/>
      <c r="H938" s="3"/>
      <c r="I938" s="3"/>
      <c r="K938" s="3"/>
      <c r="L938" s="3"/>
      <c r="X938" s="4"/>
      <c r="AK938" s="5"/>
    </row>
    <row r="939" spans="2:37" x14ac:dyDescent="0.25">
      <c r="B939" s="3"/>
      <c r="E939" s="2"/>
      <c r="F939" s="3"/>
      <c r="G939" s="3"/>
      <c r="H939" s="3"/>
      <c r="I939" s="3"/>
      <c r="K939" s="3"/>
      <c r="X939" s="4"/>
      <c r="AK939" s="5"/>
    </row>
    <row r="940" spans="2:37" x14ac:dyDescent="0.25">
      <c r="B940" s="1"/>
      <c r="E940" s="2"/>
      <c r="H940" s="3"/>
      <c r="I940" s="3"/>
      <c r="K940" s="3"/>
      <c r="X940" s="4"/>
      <c r="AK940" s="5"/>
    </row>
    <row r="941" spans="2:37" x14ac:dyDescent="0.25">
      <c r="B941" s="1"/>
      <c r="E941" s="2"/>
      <c r="H941" s="3"/>
      <c r="I941" s="3"/>
      <c r="K941" s="3"/>
      <c r="X941" s="4"/>
      <c r="AK941" s="5"/>
    </row>
    <row r="942" spans="2:37" x14ac:dyDescent="0.25">
      <c r="B942" s="1"/>
      <c r="E942" s="2"/>
      <c r="H942" s="3"/>
      <c r="I942" s="3"/>
      <c r="K942" s="3"/>
      <c r="L942" s="3"/>
      <c r="X942" s="4"/>
    </row>
    <row r="943" spans="2:37" x14ac:dyDescent="0.25">
      <c r="B943" s="3"/>
      <c r="C943" s="3"/>
      <c r="G943" s="3"/>
    </row>
    <row r="944" spans="2:37" x14ac:dyDescent="0.25">
      <c r="B944" s="1"/>
      <c r="D944" s="3"/>
      <c r="E944" s="2"/>
      <c r="G944" s="3"/>
      <c r="H944" s="3"/>
      <c r="I944" s="3"/>
      <c r="K944" s="3"/>
      <c r="L944" s="3"/>
      <c r="X944" s="4"/>
      <c r="Z944" s="3"/>
      <c r="AB944" s="3"/>
      <c r="AE944" s="3"/>
      <c r="AK944" s="5"/>
    </row>
    <row r="945" spans="2:37" x14ac:dyDescent="0.25">
      <c r="F945" s="3"/>
    </row>
    <row r="946" spans="2:37" x14ac:dyDescent="0.25">
      <c r="B946" s="1"/>
      <c r="E946" s="2"/>
      <c r="H946" s="3"/>
      <c r="I946" s="3"/>
      <c r="K946" s="3"/>
      <c r="L946" s="3"/>
      <c r="X946" s="4"/>
      <c r="Z946" s="3"/>
      <c r="AD946" s="3"/>
      <c r="AE946" s="3"/>
      <c r="AK946" s="5"/>
    </row>
    <row r="947" spans="2:37" x14ac:dyDescent="0.25">
      <c r="B947" s="1"/>
      <c r="E947" s="2"/>
      <c r="G947" s="3"/>
      <c r="H947" s="3"/>
      <c r="I947" s="3"/>
      <c r="K947" s="3"/>
      <c r="X947" s="4"/>
      <c r="AE947" s="3"/>
      <c r="AK947" s="5"/>
    </row>
    <row r="948" spans="2:37" x14ac:dyDescent="0.25">
      <c r="B948" s="1"/>
      <c r="E948" s="2"/>
      <c r="H948" s="3"/>
      <c r="I948" s="3"/>
      <c r="K948" s="3"/>
      <c r="L948" s="3"/>
      <c r="X948" s="4"/>
      <c r="Z948" s="3"/>
      <c r="AE948" s="3"/>
      <c r="AK948" s="5"/>
    </row>
    <row r="949" spans="2:37" x14ac:dyDescent="0.25">
      <c r="B949" s="1"/>
      <c r="E949" s="2"/>
      <c r="H949" s="3"/>
      <c r="I949" s="3"/>
      <c r="K949" s="3"/>
      <c r="L949" s="3"/>
      <c r="X949" s="4"/>
      <c r="Z949" s="3"/>
      <c r="AE949" s="3"/>
      <c r="AK949" s="5"/>
    </row>
    <row r="950" spans="2:37" x14ac:dyDescent="0.25">
      <c r="B950" s="3"/>
      <c r="E950" s="2"/>
      <c r="G950" s="3"/>
      <c r="H950" s="3"/>
      <c r="I950" s="3"/>
      <c r="K950" s="3"/>
      <c r="L950" s="3"/>
      <c r="X950" s="4"/>
      <c r="Z950" s="3"/>
      <c r="AE950" s="3"/>
      <c r="AK950" s="5"/>
    </row>
    <row r="951" spans="2:37" x14ac:dyDescent="0.25">
      <c r="B951" s="1"/>
      <c r="E951" s="2"/>
      <c r="H951" s="3"/>
      <c r="I951" s="3"/>
      <c r="K951" s="3"/>
      <c r="L951" s="3"/>
      <c r="X951" s="4"/>
      <c r="Z951" s="3"/>
      <c r="AB951" s="3"/>
      <c r="AE951" s="3"/>
      <c r="AK951" s="5"/>
    </row>
    <row r="952" spans="2:37" x14ac:dyDescent="0.25">
      <c r="B952" s="3"/>
      <c r="E952" s="2"/>
      <c r="G952" s="3"/>
      <c r="H952" s="3"/>
      <c r="I952" s="3"/>
      <c r="K952" s="3"/>
      <c r="L952" s="3"/>
      <c r="X952" s="4"/>
      <c r="Z952" s="3"/>
      <c r="AE952" s="3"/>
      <c r="AK952" s="5"/>
    </row>
    <row r="953" spans="2:37" x14ac:dyDescent="0.25">
      <c r="B953" s="1"/>
      <c r="E953" s="2"/>
      <c r="H953" s="3"/>
      <c r="I953" s="3"/>
      <c r="K953" s="3"/>
      <c r="L953" s="3"/>
      <c r="X953" s="4"/>
      <c r="Z953" s="3"/>
      <c r="AE953" s="3"/>
      <c r="AK953" s="5"/>
    </row>
    <row r="954" spans="2:37" x14ac:dyDescent="0.25">
      <c r="B954" s="1"/>
      <c r="E954" s="2"/>
      <c r="H954" s="3"/>
      <c r="I954" s="3"/>
      <c r="K954" s="3"/>
      <c r="L954" s="3"/>
      <c r="X954" s="4"/>
      <c r="Z954" s="3"/>
      <c r="AE954" s="3"/>
      <c r="AK954" s="5"/>
    </row>
    <row r="955" spans="2:37" x14ac:dyDescent="0.25">
      <c r="B955" s="3"/>
      <c r="E955" s="2"/>
      <c r="G955" s="3"/>
      <c r="H955" s="3"/>
      <c r="I955" s="3"/>
      <c r="K955" s="3"/>
      <c r="L955" s="3"/>
      <c r="X955" s="4"/>
      <c r="Z955" s="3"/>
      <c r="AE955" s="3"/>
      <c r="AK955" s="5"/>
    </row>
    <row r="956" spans="2:37" x14ac:dyDescent="0.25">
      <c r="B956" s="1"/>
      <c r="E956" s="2"/>
      <c r="H956" s="3"/>
      <c r="I956" s="3"/>
      <c r="K956" s="3"/>
      <c r="L956" s="3"/>
      <c r="X956" s="4"/>
      <c r="Z956" s="3"/>
      <c r="AE956" s="3"/>
      <c r="AK956" s="5"/>
    </row>
    <row r="957" spans="2:37" x14ac:dyDescent="0.25">
      <c r="B957" s="1"/>
      <c r="E957" s="2"/>
      <c r="H957" s="3"/>
      <c r="I957" s="3"/>
      <c r="K957" s="3"/>
      <c r="L957" s="3"/>
      <c r="X957" s="4"/>
      <c r="Z957" s="3"/>
      <c r="AD957" s="3"/>
      <c r="AE957" s="3"/>
      <c r="AK957" s="5"/>
    </row>
    <row r="958" spans="2:37" x14ac:dyDescent="0.25">
      <c r="B958" s="1"/>
      <c r="E958" s="2"/>
      <c r="H958" s="3"/>
      <c r="I958" s="3"/>
      <c r="K958" s="3"/>
      <c r="L958" s="3"/>
      <c r="X958" s="4"/>
      <c r="Z958" s="3"/>
      <c r="AE958" s="3"/>
      <c r="AK958" s="5"/>
    </row>
    <row r="959" spans="2:37" x14ac:dyDescent="0.25">
      <c r="B959" s="1"/>
      <c r="E959" s="2"/>
      <c r="H959" s="3"/>
      <c r="I959" s="3"/>
      <c r="K959" s="3"/>
      <c r="L959" s="3"/>
      <c r="X959" s="4"/>
      <c r="Z959" s="3"/>
      <c r="AE959" s="3"/>
      <c r="AK959" s="5"/>
    </row>
    <row r="960" spans="2:37" x14ac:dyDescent="0.25">
      <c r="B960" s="1"/>
      <c r="E960" s="2"/>
      <c r="H960" s="3"/>
      <c r="I960" s="3"/>
      <c r="K960" s="3"/>
      <c r="L960" s="3"/>
      <c r="X960" s="4"/>
      <c r="AK960" s="5"/>
    </row>
    <row r="961" spans="2:37" x14ac:dyDescent="0.25">
      <c r="B961" s="1"/>
      <c r="D961" s="3"/>
      <c r="E961" s="2"/>
      <c r="G961" s="3"/>
      <c r="H961" s="3"/>
      <c r="I961" s="3"/>
      <c r="K961" s="3"/>
      <c r="X961" s="4"/>
    </row>
    <row r="962" spans="2:37" x14ac:dyDescent="0.25">
      <c r="B962" s="1"/>
      <c r="E962" s="2"/>
      <c r="H962" s="3"/>
      <c r="I962" s="3"/>
      <c r="K962" s="3"/>
      <c r="L962" s="3"/>
      <c r="X962" s="4"/>
      <c r="AD962" s="3"/>
      <c r="AE962" s="3"/>
      <c r="AK962" s="5"/>
    </row>
    <row r="963" spans="2:37" x14ac:dyDescent="0.25">
      <c r="B963" s="1"/>
      <c r="E963" s="2"/>
      <c r="G963" s="3"/>
      <c r="H963" s="3"/>
      <c r="I963" s="3"/>
      <c r="K963" s="3"/>
      <c r="L963" s="3"/>
      <c r="X963" s="4"/>
      <c r="AB963" s="3"/>
      <c r="AE963" s="3"/>
      <c r="AK963" s="5"/>
    </row>
    <row r="964" spans="2:37" x14ac:dyDescent="0.25">
      <c r="B964" s="1"/>
      <c r="E964" s="2"/>
      <c r="H964" s="3"/>
      <c r="I964" s="3"/>
      <c r="K964" s="3"/>
      <c r="L964" s="3"/>
      <c r="X964" s="4"/>
      <c r="AK964" s="5"/>
    </row>
    <row r="965" spans="2:37" x14ac:dyDescent="0.25">
      <c r="B965" s="1"/>
      <c r="E965" s="2"/>
      <c r="F965" s="3"/>
      <c r="G965" s="3"/>
      <c r="H965" s="3"/>
      <c r="I965" s="3"/>
      <c r="K965" s="3"/>
      <c r="X965" s="4"/>
      <c r="AK965" s="5"/>
    </row>
    <row r="966" spans="2:37" x14ac:dyDescent="0.25">
      <c r="B966" s="1"/>
      <c r="E966" s="2"/>
      <c r="H966" s="3"/>
      <c r="I966" s="3"/>
      <c r="K966" s="3"/>
      <c r="L966" s="3"/>
      <c r="X966" s="4"/>
      <c r="AK966" s="5"/>
    </row>
    <row r="967" spans="2:37" x14ac:dyDescent="0.25">
      <c r="B967" s="1"/>
      <c r="E967" s="2"/>
      <c r="F967" s="3"/>
      <c r="G967" s="3"/>
      <c r="H967" s="3"/>
      <c r="I967" s="3"/>
      <c r="K967" s="3"/>
      <c r="L967" s="3"/>
      <c r="X967" s="4"/>
    </row>
    <row r="968" spans="2:37" x14ac:dyDescent="0.25">
      <c r="B968" s="1"/>
      <c r="D968" s="3"/>
      <c r="E968" s="2"/>
      <c r="H968" s="3"/>
      <c r="I968" s="3"/>
      <c r="K968" s="3"/>
      <c r="L968" s="3"/>
      <c r="X968" s="4"/>
      <c r="AB968" s="3"/>
      <c r="AE968" s="3"/>
      <c r="AK968" s="5"/>
    </row>
    <row r="969" spans="2:37" x14ac:dyDescent="0.25">
      <c r="B969" s="1"/>
      <c r="E969" s="2"/>
      <c r="G969" s="3"/>
      <c r="H969" s="3"/>
      <c r="I969" s="3"/>
      <c r="K969" s="3"/>
      <c r="L969" s="3"/>
      <c r="X969" s="4"/>
    </row>
    <row r="970" spans="2:37" x14ac:dyDescent="0.25">
      <c r="B970" s="1"/>
      <c r="E970" s="2"/>
      <c r="F970" s="3"/>
      <c r="G970" s="3"/>
      <c r="H970" s="3"/>
      <c r="I970" s="3"/>
      <c r="K970" s="3"/>
      <c r="L970" s="3"/>
      <c r="X970" s="4"/>
      <c r="AB970" s="3"/>
      <c r="AE970" s="3"/>
      <c r="AK970" s="5"/>
    </row>
    <row r="971" spans="2:37" x14ac:dyDescent="0.25">
      <c r="B971" s="1"/>
      <c r="E971" s="2"/>
      <c r="H971" s="3"/>
      <c r="I971" s="3"/>
      <c r="K971" s="3"/>
      <c r="L971" s="3"/>
      <c r="X971" s="4"/>
      <c r="Z971" s="3"/>
      <c r="AE971" s="3"/>
      <c r="AK971" s="5"/>
    </row>
    <row r="972" spans="2:37" x14ac:dyDescent="0.25">
      <c r="B972" s="1"/>
      <c r="E972" s="2"/>
      <c r="H972" s="3"/>
      <c r="I972" s="3"/>
      <c r="K972" s="3"/>
      <c r="L972" s="3"/>
      <c r="X972" s="4"/>
      <c r="AD972" s="3"/>
      <c r="AE972" s="3"/>
      <c r="AK972" s="5"/>
    </row>
    <row r="973" spans="2:37" x14ac:dyDescent="0.25">
      <c r="B973" s="1"/>
      <c r="E973" s="2"/>
      <c r="H973" s="3"/>
      <c r="I973" s="3"/>
      <c r="K973" s="3"/>
      <c r="L973" s="3"/>
      <c r="X973" s="4"/>
      <c r="AE973" s="3"/>
      <c r="AK973" s="5"/>
    </row>
    <row r="974" spans="2:37" x14ac:dyDescent="0.25">
      <c r="B974" s="1"/>
      <c r="E974" s="2"/>
      <c r="G974" s="3"/>
      <c r="H974" s="3"/>
      <c r="I974" s="3"/>
      <c r="K974" s="3"/>
      <c r="X974" s="4"/>
      <c r="AE974" s="3"/>
      <c r="AK974" s="5"/>
    </row>
    <row r="975" spans="2:37" x14ac:dyDescent="0.25">
      <c r="B975" s="1"/>
      <c r="E975" s="2"/>
      <c r="G975" s="3"/>
      <c r="H975" s="3"/>
      <c r="I975" s="3"/>
      <c r="K975" s="3"/>
      <c r="L975" s="3"/>
      <c r="X975" s="4"/>
      <c r="Z975" s="3"/>
      <c r="AB975" s="3"/>
      <c r="AE975" s="3"/>
      <c r="AK975" s="5"/>
    </row>
    <row r="976" spans="2:37" x14ac:dyDescent="0.25">
      <c r="B976" s="1"/>
      <c r="E976" s="2"/>
      <c r="G976" s="3"/>
      <c r="H976" s="3"/>
      <c r="I976" s="3"/>
      <c r="K976" s="3"/>
      <c r="L976" s="3"/>
      <c r="X976" s="4"/>
      <c r="AD976" s="3"/>
      <c r="AE976" s="3"/>
      <c r="AK976" s="5"/>
    </row>
    <row r="977" spans="2:37" x14ac:dyDescent="0.25">
      <c r="B977" s="1"/>
      <c r="E977" s="2"/>
      <c r="H977" s="3"/>
      <c r="I977" s="3"/>
      <c r="K977" s="3"/>
      <c r="L977" s="3"/>
      <c r="X977" s="4"/>
      <c r="AD977" s="3"/>
      <c r="AE977" s="3"/>
      <c r="AK977" s="5"/>
    </row>
    <row r="978" spans="2:37" x14ac:dyDescent="0.25">
      <c r="B978" s="1"/>
      <c r="D978" s="3"/>
      <c r="E978" s="2"/>
      <c r="G978" s="3"/>
      <c r="H978" s="3"/>
      <c r="I978" s="3"/>
      <c r="K978" s="3"/>
      <c r="L978" s="3"/>
      <c r="X978" s="4"/>
    </row>
    <row r="979" spans="2:37" x14ac:dyDescent="0.25">
      <c r="B979" s="1"/>
      <c r="D979" s="3"/>
      <c r="E979" s="2"/>
      <c r="H979" s="3"/>
      <c r="I979" s="3"/>
      <c r="K979" s="3"/>
      <c r="X979" s="4"/>
      <c r="AK979" s="5"/>
    </row>
    <row r="980" spans="2:37" x14ac:dyDescent="0.25">
      <c r="B980" s="1"/>
      <c r="E980" s="2"/>
      <c r="G980" s="3"/>
      <c r="H980" s="3"/>
      <c r="I980" s="3"/>
      <c r="K980" s="3"/>
      <c r="L980" s="3"/>
      <c r="X980" s="4"/>
      <c r="Z980" s="3"/>
      <c r="AE980" s="3"/>
      <c r="AK980" s="5"/>
    </row>
    <row r="981" spans="2:37" x14ac:dyDescent="0.25">
      <c r="B981" s="1"/>
      <c r="D981" s="3"/>
      <c r="E981" s="2"/>
      <c r="G981" s="3"/>
      <c r="H981" s="3"/>
      <c r="I981" s="3"/>
      <c r="K981" s="3"/>
      <c r="L981" s="3"/>
      <c r="X981" s="4"/>
    </row>
    <row r="982" spans="2:37" x14ac:dyDescent="0.25">
      <c r="B982" s="3"/>
      <c r="E982" s="2"/>
      <c r="G982" s="3"/>
      <c r="H982" s="3"/>
      <c r="I982" s="3"/>
      <c r="K982" s="3"/>
      <c r="L982" s="3"/>
      <c r="X982" s="4"/>
      <c r="Z982" s="3"/>
      <c r="AE982" s="3"/>
      <c r="AK982" s="5"/>
    </row>
    <row r="983" spans="2:37" x14ac:dyDescent="0.25">
      <c r="B983" s="1"/>
      <c r="E983" s="2"/>
      <c r="H983" s="3"/>
      <c r="I983" s="3"/>
      <c r="K983" s="3"/>
      <c r="L983" s="3"/>
      <c r="X983" s="4"/>
      <c r="AB983" s="3"/>
      <c r="AE983" s="3"/>
      <c r="AK983" s="5"/>
    </row>
    <row r="984" spans="2:37" x14ac:dyDescent="0.25">
      <c r="B984" s="1"/>
      <c r="E984" s="2"/>
      <c r="F984" s="3"/>
      <c r="G984" s="3"/>
      <c r="H984" s="3"/>
      <c r="I984" s="3"/>
      <c r="K984" s="3"/>
      <c r="L984" s="3"/>
      <c r="X984" s="4"/>
      <c r="AB984" s="3"/>
      <c r="AE984" s="3"/>
      <c r="AK984" s="5"/>
    </row>
    <row r="985" spans="2:37" x14ac:dyDescent="0.25">
      <c r="B985" s="1"/>
      <c r="E985" s="2"/>
      <c r="H985" s="3"/>
      <c r="I985" s="3"/>
      <c r="K985" s="3"/>
      <c r="L985" s="3"/>
      <c r="X985" s="4"/>
      <c r="AB985" s="3"/>
      <c r="AK985" s="5"/>
    </row>
    <row r="986" spans="2:37" x14ac:dyDescent="0.25">
      <c r="B986" s="1"/>
      <c r="E986" s="2"/>
      <c r="G986" s="3"/>
      <c r="H986" s="3"/>
      <c r="I986" s="3"/>
      <c r="K986" s="3"/>
      <c r="X986" s="4"/>
      <c r="AE986" s="3"/>
      <c r="AK986" s="5"/>
    </row>
    <row r="987" spans="2:37" x14ac:dyDescent="0.25">
      <c r="B987" s="1"/>
      <c r="E987" s="2"/>
      <c r="H987" s="3"/>
      <c r="I987" s="3"/>
      <c r="K987" s="3"/>
      <c r="X987" s="4"/>
      <c r="AK987" s="5"/>
    </row>
    <row r="988" spans="2:37" x14ac:dyDescent="0.25">
      <c r="B988" s="1"/>
      <c r="E988" s="2"/>
      <c r="H988" s="3"/>
      <c r="I988" s="3"/>
      <c r="K988" s="3"/>
      <c r="X988" s="4"/>
    </row>
    <row r="989" spans="2:37" x14ac:dyDescent="0.25">
      <c r="B989" s="1"/>
      <c r="E989" s="2"/>
      <c r="H989" s="3"/>
      <c r="I989" s="3"/>
      <c r="K989" s="3"/>
      <c r="X989" s="4"/>
    </row>
    <row r="990" spans="2:37" x14ac:dyDescent="0.25">
      <c r="B990" s="1"/>
      <c r="E990" s="2"/>
      <c r="G990" s="3"/>
      <c r="H990" s="3"/>
      <c r="I990" s="3"/>
      <c r="K990" s="3"/>
      <c r="L990" s="3"/>
      <c r="X990" s="4"/>
    </row>
    <row r="991" spans="2:37" x14ac:dyDescent="0.25">
      <c r="B991" s="3"/>
      <c r="E991" s="2"/>
      <c r="G991" s="3"/>
      <c r="H991" s="3"/>
      <c r="I991" s="3"/>
      <c r="K991" s="3"/>
      <c r="L991" s="3"/>
      <c r="X991" s="4"/>
    </row>
    <row r="992" spans="2:37" x14ac:dyDescent="0.25">
      <c r="B992" s="1"/>
      <c r="E992" s="2"/>
      <c r="G992" s="3"/>
      <c r="H992" s="3"/>
      <c r="I992" s="3"/>
      <c r="K992" s="3"/>
      <c r="L992" s="3"/>
      <c r="X992" s="4"/>
    </row>
    <row r="993" spans="2:37" x14ac:dyDescent="0.25">
      <c r="B993" s="1"/>
      <c r="E993" s="2"/>
      <c r="F993" s="3"/>
      <c r="G993" s="3"/>
      <c r="H993" s="3"/>
      <c r="I993" s="3"/>
      <c r="K993" s="3"/>
      <c r="L993" s="3"/>
      <c r="X993" s="4"/>
    </row>
    <row r="994" spans="2:37" x14ac:dyDescent="0.25">
      <c r="B994" s="1"/>
      <c r="E994" s="2"/>
      <c r="G994" s="3"/>
      <c r="H994" s="3"/>
      <c r="I994" s="3"/>
      <c r="K994" s="3"/>
      <c r="L994" s="3"/>
      <c r="X994" s="4"/>
    </row>
    <row r="995" spans="2:37" x14ac:dyDescent="0.25">
      <c r="B995" s="1"/>
      <c r="E995" s="2"/>
      <c r="F995" s="3"/>
      <c r="G995" s="3"/>
      <c r="H995" s="3"/>
      <c r="I995" s="3"/>
      <c r="K995" s="3"/>
      <c r="L995" s="3"/>
      <c r="X995" s="4"/>
      <c r="Z995" s="3"/>
      <c r="AE995" s="3"/>
      <c r="AK995" s="5"/>
    </row>
    <row r="996" spans="2:37" x14ac:dyDescent="0.25">
      <c r="B996" s="1"/>
      <c r="E996" s="2"/>
      <c r="G996" s="3"/>
      <c r="H996" s="3"/>
      <c r="I996" s="3"/>
      <c r="K996" s="3"/>
      <c r="X996" s="4"/>
    </row>
    <row r="997" spans="2:37" x14ac:dyDescent="0.25">
      <c r="B997" s="1"/>
      <c r="E997" s="2"/>
      <c r="H997" s="3"/>
      <c r="I997" s="3"/>
      <c r="K997" s="3"/>
      <c r="L997" s="3"/>
      <c r="X997" s="4"/>
    </row>
    <row r="998" spans="2:37" x14ac:dyDescent="0.25">
      <c r="B998" s="1"/>
      <c r="E998" s="2"/>
      <c r="G998" s="3"/>
      <c r="H998" s="3"/>
      <c r="I998" s="3"/>
      <c r="K998" s="3"/>
      <c r="X998" s="4"/>
    </row>
    <row r="999" spans="2:37" x14ac:dyDescent="0.25">
      <c r="B999" s="1"/>
      <c r="E999" s="2"/>
      <c r="G999" s="3"/>
      <c r="H999" s="3"/>
      <c r="I999" s="3"/>
      <c r="K999" s="3"/>
      <c r="X999" s="4"/>
    </row>
    <row r="1000" spans="2:37" x14ac:dyDescent="0.25">
      <c r="B1000" s="1"/>
      <c r="E1000" s="2"/>
      <c r="H1000" s="3"/>
      <c r="I1000" s="3"/>
      <c r="K1000" s="3"/>
      <c r="L1000" s="3"/>
      <c r="X1000" s="4"/>
      <c r="Z1000" s="3"/>
      <c r="AE1000" s="3"/>
      <c r="AK1000" s="5"/>
    </row>
    <row r="1001" spans="2:37" x14ac:dyDescent="0.25">
      <c r="B1001" s="1"/>
      <c r="E1001" s="2"/>
      <c r="H1001" s="3"/>
      <c r="I1001" s="3"/>
      <c r="K1001" s="3"/>
      <c r="L1001" s="3"/>
      <c r="X1001" s="4"/>
      <c r="AB1001" s="3"/>
      <c r="AE1001" s="3"/>
      <c r="AK1001" s="5"/>
    </row>
    <row r="1002" spans="2:37" x14ac:dyDescent="0.25">
      <c r="B1002" s="1"/>
      <c r="E1002" s="2"/>
      <c r="G1002" s="3"/>
      <c r="H1002" s="3"/>
      <c r="I1002" s="3"/>
      <c r="K1002" s="3"/>
      <c r="L1002" s="3"/>
      <c r="X1002" s="4"/>
    </row>
    <row r="1003" spans="2:37" x14ac:dyDescent="0.25">
      <c r="B1003" s="1"/>
      <c r="E1003" s="2"/>
      <c r="F1003" s="3"/>
      <c r="G1003" s="3"/>
      <c r="H1003" s="3"/>
      <c r="I1003" s="3"/>
      <c r="K1003" s="3"/>
      <c r="L1003" s="3"/>
      <c r="X1003" s="4"/>
      <c r="AK1003" s="5"/>
    </row>
    <row r="1004" spans="2:37" x14ac:dyDescent="0.25">
      <c r="B1004" s="1"/>
      <c r="E1004" s="2"/>
      <c r="G1004" s="3"/>
      <c r="H1004" s="3"/>
      <c r="I1004" s="3"/>
      <c r="K1004" s="3"/>
      <c r="L1004" s="3"/>
      <c r="X1004" s="4"/>
      <c r="Z1004" s="3"/>
      <c r="AB1004" s="3"/>
      <c r="AE1004" s="3"/>
      <c r="AK1004" s="5"/>
    </row>
    <row r="1005" spans="2:37" x14ac:dyDescent="0.25">
      <c r="B1005" s="1"/>
      <c r="E1005" s="2"/>
      <c r="H1005" s="3"/>
      <c r="I1005" s="3"/>
      <c r="K1005" s="3"/>
      <c r="L1005" s="3"/>
      <c r="X1005" s="4"/>
      <c r="AK1005" s="5"/>
    </row>
    <row r="1006" spans="2:37" x14ac:dyDescent="0.25">
      <c r="B1006" s="1"/>
      <c r="E1006" s="2"/>
      <c r="G1006" s="3"/>
      <c r="H1006" s="3"/>
      <c r="I1006" s="3"/>
      <c r="K1006" s="3"/>
      <c r="X1006" s="4"/>
      <c r="AK1006" s="5"/>
    </row>
    <row r="1007" spans="2:37" x14ac:dyDescent="0.25">
      <c r="B1007" s="1"/>
      <c r="E1007" s="2"/>
      <c r="H1007" s="3"/>
      <c r="I1007" s="3"/>
      <c r="K1007" s="3"/>
      <c r="L1007" s="3"/>
      <c r="X1007" s="4"/>
      <c r="AD1007" s="3"/>
      <c r="AE1007" s="3"/>
      <c r="AK1007" s="5"/>
    </row>
    <row r="1008" spans="2:37" x14ac:dyDescent="0.25">
      <c r="B1008" s="1"/>
      <c r="E1008" s="2"/>
      <c r="G1008" s="3"/>
      <c r="H1008" s="3"/>
      <c r="I1008" s="3"/>
      <c r="K1008" s="3"/>
      <c r="L1008" s="3"/>
      <c r="X1008" s="4"/>
      <c r="AE1008" s="3"/>
      <c r="AK1008" s="5"/>
    </row>
    <row r="1009" spans="2:37" x14ac:dyDescent="0.25">
      <c r="B1009" s="1"/>
      <c r="E1009" s="2"/>
      <c r="G1009" s="3"/>
      <c r="H1009" s="3"/>
      <c r="I1009" s="3"/>
      <c r="K1009" s="3"/>
      <c r="L1009" s="3"/>
      <c r="X1009" s="4"/>
      <c r="AB1009" s="3"/>
      <c r="AE1009" s="3"/>
      <c r="AK1009" s="5"/>
    </row>
    <row r="1010" spans="2:37" x14ac:dyDescent="0.25">
      <c r="B1010" s="1"/>
      <c r="E1010" s="2"/>
      <c r="H1010" s="3"/>
      <c r="I1010" s="3"/>
      <c r="K1010" s="3"/>
      <c r="L1010" s="3"/>
      <c r="X1010" s="4"/>
      <c r="AB1010" s="3"/>
      <c r="AE1010" s="3"/>
      <c r="AK1010" s="5"/>
    </row>
    <row r="1011" spans="2:37" x14ac:dyDescent="0.25">
      <c r="B1011" s="1"/>
      <c r="E1011" s="2"/>
      <c r="H1011" s="3"/>
      <c r="I1011" s="3"/>
      <c r="K1011" s="3"/>
      <c r="L1011" s="3"/>
      <c r="X1011" s="4"/>
      <c r="Z1011" s="3"/>
      <c r="AE1011" s="3"/>
      <c r="AK1011" s="5"/>
    </row>
    <row r="1012" spans="2:37" x14ac:dyDescent="0.25">
      <c r="B1012" s="3"/>
      <c r="E1012" s="2"/>
      <c r="G1012" s="3"/>
      <c r="H1012" s="3"/>
      <c r="I1012" s="3"/>
      <c r="K1012" s="3"/>
      <c r="L1012" s="3"/>
      <c r="X1012" s="4"/>
    </row>
    <row r="1013" spans="2:37" x14ac:dyDescent="0.25">
      <c r="B1013" s="1"/>
      <c r="D1013" s="3"/>
      <c r="E1013" s="2"/>
      <c r="G1013" s="3"/>
      <c r="H1013" s="3"/>
      <c r="I1013" s="3"/>
      <c r="K1013" s="3"/>
      <c r="L1013" s="3"/>
      <c r="X1013" s="4"/>
      <c r="Z1013" s="3"/>
      <c r="AE1013" s="3"/>
      <c r="AK1013" s="5"/>
    </row>
    <row r="1014" spans="2:37" x14ac:dyDescent="0.25">
      <c r="B1014" s="1"/>
      <c r="E1014" s="2"/>
      <c r="H1014" s="3"/>
      <c r="I1014" s="3"/>
      <c r="K1014" s="3"/>
      <c r="X1014" s="4"/>
    </row>
    <row r="1015" spans="2:37" x14ac:dyDescent="0.25">
      <c r="B1015" s="1"/>
      <c r="E1015" s="2"/>
      <c r="H1015" s="3"/>
      <c r="I1015" s="3"/>
      <c r="K1015" s="3"/>
      <c r="L1015" s="3"/>
      <c r="X1015" s="4"/>
    </row>
    <row r="1016" spans="2:37" x14ac:dyDescent="0.25">
      <c r="B1016" s="1"/>
      <c r="E1016" s="2"/>
      <c r="G1016" s="3"/>
      <c r="H1016" s="3"/>
      <c r="I1016" s="3"/>
      <c r="K1016" s="3"/>
      <c r="X1016" s="4"/>
      <c r="AK1016" s="5"/>
    </row>
    <row r="1017" spans="2:37" x14ac:dyDescent="0.25">
      <c r="B1017" s="1"/>
      <c r="E1017" s="2"/>
      <c r="H1017" s="3"/>
      <c r="I1017" s="3"/>
      <c r="K1017" s="3"/>
      <c r="L1017" s="3"/>
      <c r="X1017" s="4"/>
    </row>
    <row r="1018" spans="2:37" x14ac:dyDescent="0.25">
      <c r="B1018" s="3"/>
      <c r="E1018" s="2"/>
      <c r="G1018" s="3"/>
      <c r="H1018" s="3"/>
      <c r="I1018" s="3"/>
      <c r="K1018" s="3"/>
      <c r="X1018" s="4"/>
    </row>
    <row r="1019" spans="2:37" x14ac:dyDescent="0.25">
      <c r="B1019" s="1"/>
      <c r="E1019" s="2"/>
      <c r="G1019" s="3"/>
      <c r="H1019" s="3"/>
      <c r="I1019" s="3"/>
      <c r="K1019" s="3"/>
      <c r="L1019" s="3"/>
      <c r="X1019" s="4"/>
    </row>
    <row r="1020" spans="2:37" x14ac:dyDescent="0.25">
      <c r="B1020" s="3"/>
      <c r="E1020" s="2"/>
      <c r="F1020" s="3"/>
      <c r="G1020" s="3"/>
      <c r="X1020" s="4"/>
    </row>
    <row r="1021" spans="2:37" x14ac:dyDescent="0.25">
      <c r="B1021" s="1"/>
      <c r="E1021" s="2"/>
      <c r="H1021" s="3"/>
      <c r="I1021" s="3"/>
      <c r="K1021" s="3"/>
      <c r="L1021" s="3"/>
      <c r="X1021" s="4"/>
      <c r="AD1021" s="3"/>
      <c r="AE1021" s="3"/>
      <c r="AK1021" s="5"/>
    </row>
    <row r="1022" spans="2:37" x14ac:dyDescent="0.25">
      <c r="B1022" s="1"/>
      <c r="E1022" s="2"/>
      <c r="H1022" s="3"/>
      <c r="I1022" s="3"/>
      <c r="K1022" s="3"/>
      <c r="L1022" s="3"/>
      <c r="X1022" s="4"/>
      <c r="AK1022" s="5"/>
    </row>
    <row r="1023" spans="2:37" x14ac:dyDescent="0.25">
      <c r="B1023" s="1"/>
      <c r="E1023" s="2"/>
      <c r="G1023" s="3"/>
      <c r="H1023" s="3"/>
      <c r="I1023" s="3"/>
      <c r="K1023" s="3"/>
      <c r="L1023" s="3"/>
      <c r="X1023" s="4"/>
      <c r="AA1023" s="3"/>
      <c r="AB1023" s="3"/>
      <c r="AE1023" s="3"/>
      <c r="AK1023" s="5"/>
    </row>
    <row r="1024" spans="2:37" x14ac:dyDescent="0.25">
      <c r="B1024" s="1"/>
      <c r="E1024" s="2"/>
      <c r="G1024" s="3"/>
      <c r="H1024" s="3"/>
      <c r="I1024" s="3"/>
      <c r="K1024" s="3"/>
      <c r="L1024" s="3"/>
      <c r="X1024" s="4"/>
      <c r="AD1024" s="3"/>
      <c r="AE1024" s="3"/>
      <c r="AK1024" s="5"/>
    </row>
    <row r="1025" spans="2:37" x14ac:dyDescent="0.25">
      <c r="B1025" s="1"/>
      <c r="E1025" s="2"/>
      <c r="G1025" s="3"/>
      <c r="H1025" s="3"/>
      <c r="I1025" s="3"/>
      <c r="K1025" s="3"/>
      <c r="L1025" s="3"/>
      <c r="X1025" s="4"/>
      <c r="Z1025" s="3"/>
      <c r="AD1025" s="3"/>
      <c r="AE1025" s="3"/>
      <c r="AK1025" s="5"/>
    </row>
    <row r="1026" spans="2:37" x14ac:dyDescent="0.25">
      <c r="B1026" s="1"/>
      <c r="E1026" s="2"/>
      <c r="G1026" s="3"/>
      <c r="H1026" s="3"/>
      <c r="I1026" s="3"/>
      <c r="K1026" s="3"/>
      <c r="L1026" s="3"/>
      <c r="X1026" s="4"/>
      <c r="Z1026" s="3"/>
      <c r="AE1026" s="3"/>
      <c r="AK1026" s="5"/>
    </row>
    <row r="1027" spans="2:37" x14ac:dyDescent="0.25">
      <c r="B1027" s="1"/>
      <c r="E1027" s="2"/>
      <c r="H1027" s="3"/>
      <c r="I1027" s="3"/>
      <c r="K1027" s="3"/>
      <c r="L1027" s="3"/>
      <c r="X1027" s="4"/>
      <c r="Z1027" s="3"/>
      <c r="AE1027" s="3"/>
      <c r="AK1027" s="5"/>
    </row>
    <row r="1028" spans="2:37" x14ac:dyDescent="0.25">
      <c r="B1028" s="1"/>
      <c r="E1028" s="2"/>
      <c r="H1028" s="3"/>
      <c r="I1028" s="3"/>
      <c r="K1028" s="3"/>
      <c r="L1028" s="3"/>
      <c r="X1028" s="4"/>
      <c r="AB1028" s="3"/>
      <c r="AK1028" s="5"/>
    </row>
    <row r="1029" spans="2:37" x14ac:dyDescent="0.25">
      <c r="B1029" s="1"/>
      <c r="E1029" s="2"/>
      <c r="G1029" s="3"/>
      <c r="H1029" s="3"/>
      <c r="I1029" s="3"/>
      <c r="K1029" s="3"/>
      <c r="L1029" s="3"/>
      <c r="X1029" s="4"/>
      <c r="AB1029" s="3"/>
      <c r="AE1029" s="3"/>
      <c r="AK1029" s="5"/>
    </row>
    <row r="1030" spans="2:37" x14ac:dyDescent="0.25">
      <c r="B1030" s="1"/>
      <c r="E1030" s="2"/>
      <c r="F1030" s="3"/>
      <c r="G1030" s="3"/>
      <c r="H1030" s="3"/>
      <c r="I1030" s="3"/>
      <c r="K1030" s="3"/>
      <c r="L1030" s="3"/>
      <c r="X1030" s="4"/>
      <c r="Z1030" s="3"/>
      <c r="AB1030" s="3"/>
      <c r="AE1030" s="3"/>
      <c r="AK1030" s="5"/>
    </row>
    <row r="1031" spans="2:37" x14ac:dyDescent="0.25">
      <c r="B1031" s="1"/>
      <c r="E1031" s="2"/>
      <c r="H1031" s="3"/>
      <c r="I1031" s="3"/>
      <c r="K1031" s="3"/>
      <c r="L1031" s="3"/>
      <c r="X1031" s="4"/>
      <c r="AB1031" s="3"/>
      <c r="AE1031" s="3"/>
      <c r="AK1031" s="5"/>
    </row>
    <row r="1032" spans="2:37" x14ac:dyDescent="0.25">
      <c r="B1032" s="1"/>
      <c r="E1032" s="2"/>
      <c r="G1032" s="3"/>
      <c r="H1032" s="3"/>
      <c r="I1032" s="3"/>
      <c r="K1032" s="3"/>
      <c r="L1032" s="3"/>
      <c r="X1032" s="4"/>
      <c r="AB1032" s="3"/>
      <c r="AE1032" s="3"/>
      <c r="AK1032" s="5"/>
    </row>
    <row r="1033" spans="2:37" x14ac:dyDescent="0.25">
      <c r="B1033" s="1"/>
      <c r="E1033" s="2"/>
      <c r="H1033" s="3"/>
      <c r="I1033" s="3"/>
      <c r="K1033" s="3"/>
      <c r="L1033" s="3"/>
      <c r="X1033" s="4"/>
      <c r="AE1033" s="3"/>
      <c r="AK1033" s="5"/>
    </row>
    <row r="1034" spans="2:37" x14ac:dyDescent="0.25">
      <c r="B1034" s="1"/>
      <c r="D1034" s="3"/>
      <c r="E1034" s="2"/>
      <c r="G1034" s="3"/>
      <c r="H1034" s="3"/>
      <c r="I1034" s="3"/>
      <c r="K1034" s="3"/>
      <c r="L1034" s="3"/>
      <c r="X1034" s="4"/>
      <c r="AB1034" s="3"/>
      <c r="AE1034" s="3"/>
      <c r="AK1034" s="5"/>
    </row>
    <row r="1035" spans="2:37" x14ac:dyDescent="0.25">
      <c r="B1035" s="1"/>
      <c r="E1035" s="2"/>
      <c r="H1035" s="3"/>
      <c r="I1035" s="3"/>
      <c r="K1035" s="3"/>
      <c r="L1035" s="3"/>
      <c r="X1035" s="4"/>
    </row>
    <row r="1036" spans="2:37" x14ac:dyDescent="0.25">
      <c r="B1036" s="1"/>
      <c r="D1036" s="3"/>
      <c r="E1036" s="2"/>
      <c r="G1036" s="3"/>
      <c r="H1036" s="3"/>
      <c r="I1036" s="3"/>
      <c r="K1036" s="3"/>
      <c r="X1036" s="4"/>
    </row>
    <row r="1037" spans="2:37" x14ac:dyDescent="0.25">
      <c r="B1037" s="1"/>
      <c r="E1037" s="2"/>
      <c r="G1037" s="3"/>
      <c r="H1037" s="3"/>
      <c r="I1037" s="3"/>
      <c r="K1037" s="3"/>
      <c r="L1037" s="3"/>
      <c r="X1037" s="4"/>
      <c r="AE1037" s="3"/>
      <c r="AK1037" s="5"/>
    </row>
    <row r="1038" spans="2:37" x14ac:dyDescent="0.25">
      <c r="B1038" s="1"/>
      <c r="D1038" s="3"/>
      <c r="E1038" s="2"/>
      <c r="G1038" s="3"/>
      <c r="H1038" s="3"/>
      <c r="I1038" s="3"/>
      <c r="K1038" s="3"/>
      <c r="L1038" s="3"/>
      <c r="X1038" s="4"/>
      <c r="AK1038" s="5"/>
    </row>
    <row r="1039" spans="2:37" x14ac:dyDescent="0.25">
      <c r="B1039" s="1"/>
      <c r="E1039" s="2"/>
      <c r="F1039" s="3"/>
      <c r="G1039" s="3"/>
      <c r="H1039" s="3"/>
      <c r="I1039" s="3"/>
      <c r="K1039" s="3"/>
      <c r="L1039" s="3"/>
      <c r="X1039" s="4"/>
    </row>
    <row r="1040" spans="2:37" x14ac:dyDescent="0.25">
      <c r="B1040" s="1"/>
      <c r="E1040" s="2"/>
      <c r="F1040" s="3"/>
      <c r="H1040" s="3"/>
      <c r="I1040" s="3"/>
      <c r="K1040" s="3"/>
      <c r="L1040" s="3"/>
      <c r="X1040" s="4"/>
      <c r="AB1040" s="3"/>
      <c r="AE1040" s="3"/>
      <c r="AK1040" s="5"/>
    </row>
    <row r="1041" spans="2:37" x14ac:dyDescent="0.25">
      <c r="B1041" s="1"/>
      <c r="E1041" s="2"/>
      <c r="H1041" s="3"/>
      <c r="I1041" s="3"/>
      <c r="K1041" s="3"/>
      <c r="L1041" s="3"/>
      <c r="X1041" s="4"/>
      <c r="AK1041" s="5"/>
    </row>
    <row r="1042" spans="2:37" x14ac:dyDescent="0.25">
      <c r="B1042" s="1"/>
      <c r="E1042" s="2"/>
      <c r="F1042" s="3"/>
      <c r="G1042" s="3"/>
      <c r="H1042" s="3"/>
      <c r="I1042" s="3"/>
      <c r="K1042" s="3"/>
      <c r="L1042" s="3"/>
      <c r="X1042" s="4"/>
      <c r="Z1042" s="3"/>
      <c r="AE1042" s="3"/>
      <c r="AK1042" s="5"/>
    </row>
    <row r="1043" spans="2:37" x14ac:dyDescent="0.25">
      <c r="B1043" s="1"/>
      <c r="E1043" s="2"/>
      <c r="F1043" s="3"/>
      <c r="G1043" s="3"/>
      <c r="H1043" s="3"/>
      <c r="I1043" s="3"/>
      <c r="K1043" s="3"/>
      <c r="L1043" s="3"/>
      <c r="X1043" s="4"/>
      <c r="AA1043" s="3"/>
      <c r="AE1043" s="3"/>
      <c r="AK1043" s="5"/>
    </row>
    <row r="1044" spans="2:37" x14ac:dyDescent="0.25">
      <c r="B1044" s="1"/>
      <c r="E1044" s="2"/>
      <c r="F1044" s="3"/>
      <c r="G1044" s="3"/>
      <c r="H1044" s="3"/>
      <c r="I1044" s="3"/>
      <c r="K1044" s="3"/>
      <c r="L1044" s="3"/>
      <c r="X1044" s="4"/>
      <c r="AD1044" s="3"/>
      <c r="AE1044" s="3"/>
      <c r="AK1044" s="5"/>
    </row>
    <row r="1045" spans="2:37" x14ac:dyDescent="0.25">
      <c r="B1045" s="1"/>
      <c r="E1045" s="2"/>
      <c r="H1045" s="3"/>
      <c r="I1045" s="3"/>
      <c r="K1045" s="3"/>
      <c r="L1045" s="3"/>
      <c r="X1045" s="4"/>
      <c r="AB1045" s="3"/>
      <c r="AE1045" s="3"/>
      <c r="AK1045" s="5"/>
    </row>
    <row r="1046" spans="2:37" x14ac:dyDescent="0.25">
      <c r="B1046" s="1"/>
      <c r="E1046" s="2"/>
      <c r="F1046" s="3"/>
      <c r="G1046" s="3"/>
      <c r="H1046" s="3"/>
      <c r="I1046" s="3"/>
      <c r="K1046" s="3"/>
      <c r="L1046" s="3"/>
      <c r="X1046" s="4"/>
      <c r="AK1046" s="5"/>
    </row>
    <row r="1047" spans="2:37" x14ac:dyDescent="0.25">
      <c r="B1047" s="1"/>
      <c r="E1047" s="2"/>
      <c r="G1047" s="3"/>
      <c r="H1047" s="3"/>
      <c r="I1047" s="3"/>
      <c r="K1047" s="3"/>
      <c r="L1047" s="3"/>
      <c r="X1047" s="4"/>
      <c r="AK1047" s="5"/>
    </row>
    <row r="1048" spans="2:37" x14ac:dyDescent="0.25">
      <c r="B1048" s="1"/>
      <c r="E1048" s="2"/>
      <c r="F1048" s="3"/>
      <c r="G1048" s="3"/>
      <c r="H1048" s="3"/>
      <c r="I1048" s="3"/>
      <c r="K1048" s="3"/>
      <c r="L1048" s="3"/>
      <c r="X1048" s="4"/>
      <c r="AA1048" s="3"/>
      <c r="AE1048" s="3"/>
      <c r="AK1048" s="5"/>
    </row>
    <row r="1049" spans="2:37" x14ac:dyDescent="0.25">
      <c r="B1049" s="1"/>
      <c r="E1049" s="2"/>
      <c r="G1049" s="3"/>
      <c r="H1049" s="3"/>
      <c r="I1049" s="3"/>
      <c r="K1049" s="3"/>
      <c r="L1049" s="3"/>
      <c r="X1049" s="4"/>
    </row>
    <row r="1050" spans="2:37" x14ac:dyDescent="0.25">
      <c r="B1050" s="3"/>
      <c r="E1050" s="2"/>
      <c r="F1050" s="3"/>
      <c r="G1050" s="3"/>
      <c r="H1050" s="3"/>
      <c r="I1050" s="3"/>
      <c r="K1050" s="3"/>
      <c r="L1050" s="3"/>
      <c r="X1050" s="4"/>
      <c r="AB1050" s="3"/>
      <c r="AE1050" s="3"/>
      <c r="AK1050" s="5"/>
    </row>
    <row r="1051" spans="2:37" x14ac:dyDescent="0.25">
      <c r="B1051" s="1"/>
      <c r="E1051" s="2"/>
      <c r="H1051" s="3"/>
      <c r="I1051" s="3"/>
      <c r="K1051" s="3"/>
      <c r="L1051" s="3"/>
      <c r="X1051" s="4"/>
      <c r="AB1051" s="3"/>
      <c r="AE1051" s="3"/>
      <c r="AK1051" s="5"/>
    </row>
    <row r="1052" spans="2:37" x14ac:dyDescent="0.25">
      <c r="B1052" s="3"/>
      <c r="E1052" s="2"/>
      <c r="F1052" s="3"/>
      <c r="G1052" s="3"/>
      <c r="H1052" s="3"/>
      <c r="I1052" s="3"/>
      <c r="K1052" s="3"/>
      <c r="L1052" s="3"/>
      <c r="X1052" s="4"/>
      <c r="AB1052" s="3"/>
      <c r="AE1052" s="3"/>
      <c r="AK1052" s="5"/>
    </row>
    <row r="1053" spans="2:37" x14ac:dyDescent="0.25">
      <c r="B1053" s="1"/>
      <c r="E1053" s="2"/>
      <c r="H1053" s="3"/>
      <c r="I1053" s="3"/>
      <c r="K1053" s="3"/>
      <c r="L1053" s="3"/>
      <c r="X1053" s="4"/>
      <c r="AB1053" s="3"/>
      <c r="AE1053" s="3"/>
      <c r="AK1053" s="5"/>
    </row>
    <row r="1054" spans="2:37" x14ac:dyDescent="0.25">
      <c r="B1054" s="1"/>
      <c r="E1054" s="2"/>
      <c r="F1054" s="3"/>
      <c r="G1054" s="3"/>
      <c r="H1054" s="3"/>
      <c r="I1054" s="3"/>
      <c r="K1054" s="3"/>
      <c r="L1054" s="3"/>
      <c r="X1054" s="4"/>
      <c r="Z1054" s="3"/>
      <c r="AE1054" s="3"/>
      <c r="AK1054" s="5"/>
    </row>
    <row r="1055" spans="2:37" x14ac:dyDescent="0.25">
      <c r="B1055" s="1"/>
      <c r="E1055" s="2"/>
      <c r="H1055" s="3"/>
      <c r="I1055" s="3"/>
      <c r="K1055" s="3"/>
      <c r="L1055" s="3"/>
      <c r="X1055" s="4"/>
      <c r="Z1055" s="3"/>
      <c r="AE1055" s="3"/>
      <c r="AK1055" s="5"/>
    </row>
    <row r="1056" spans="2:37" x14ac:dyDescent="0.25">
      <c r="B1056" s="1"/>
      <c r="E1056" s="2"/>
      <c r="F1056" s="3"/>
      <c r="G1056" s="3"/>
      <c r="H1056" s="3"/>
      <c r="I1056" s="3"/>
      <c r="K1056" s="3"/>
      <c r="L1056" s="3"/>
      <c r="X1056" s="4"/>
      <c r="Z1056" s="3"/>
      <c r="AE1056" s="3"/>
      <c r="AK1056" s="5"/>
    </row>
    <row r="1057" spans="2:37" x14ac:dyDescent="0.25">
      <c r="B1057" s="1"/>
      <c r="E1057" s="2"/>
      <c r="H1057" s="3"/>
      <c r="I1057" s="3"/>
      <c r="K1057" s="3"/>
      <c r="L1057" s="3"/>
      <c r="X1057" s="4"/>
    </row>
    <row r="1058" spans="2:37" x14ac:dyDescent="0.25">
      <c r="D1058" s="3"/>
      <c r="G1058" s="3"/>
    </row>
    <row r="1059" spans="2:37" x14ac:dyDescent="0.25">
      <c r="B1059" s="1"/>
      <c r="E1059" s="2"/>
      <c r="H1059" s="3"/>
      <c r="I1059" s="3"/>
      <c r="K1059" s="3"/>
      <c r="L1059" s="3"/>
      <c r="X1059" s="4"/>
    </row>
    <row r="1060" spans="2:37" x14ac:dyDescent="0.25">
      <c r="B1060" s="3"/>
      <c r="F1060" s="3"/>
      <c r="G1060" s="3"/>
    </row>
    <row r="1061" spans="2:37" x14ac:dyDescent="0.25">
      <c r="B1061" s="1"/>
      <c r="E1061" s="2"/>
      <c r="H1061" s="3"/>
      <c r="I1061" s="3"/>
      <c r="K1061" s="3"/>
      <c r="L1061" s="3"/>
      <c r="X1061" s="4"/>
      <c r="AB1061" s="3"/>
      <c r="AK1061" s="5"/>
    </row>
    <row r="1062" spans="2:37" x14ac:dyDescent="0.25">
      <c r="B1062" s="1"/>
      <c r="E1062" s="2"/>
      <c r="F1062" s="3"/>
      <c r="G1062" s="3"/>
      <c r="H1062" s="3"/>
      <c r="I1062" s="3"/>
      <c r="K1062" s="3"/>
      <c r="L1062" s="3"/>
      <c r="X1062" s="4"/>
      <c r="AB1062" s="3"/>
      <c r="AK1062" s="5"/>
    </row>
    <row r="1063" spans="2:37" x14ac:dyDescent="0.25">
      <c r="B1063" s="1"/>
      <c r="E1063" s="2"/>
      <c r="H1063" s="3"/>
      <c r="I1063" s="3"/>
      <c r="K1063" s="3"/>
      <c r="L1063" s="3"/>
      <c r="X1063" s="4"/>
      <c r="AE1063" s="3"/>
      <c r="AK1063" s="5"/>
    </row>
    <row r="1064" spans="2:37" x14ac:dyDescent="0.25">
      <c r="B1064" s="1"/>
      <c r="E1064" s="2"/>
      <c r="F1064" s="3"/>
      <c r="G1064" s="3"/>
      <c r="H1064" s="3"/>
      <c r="I1064" s="3"/>
      <c r="K1064" s="3"/>
      <c r="L1064" s="3"/>
      <c r="X1064" s="4"/>
      <c r="AD1064" s="3"/>
      <c r="AE1064" s="3"/>
      <c r="AK1064" s="5"/>
    </row>
    <row r="1065" spans="2:37" x14ac:dyDescent="0.25">
      <c r="B1065" s="1"/>
      <c r="E1065" s="2"/>
      <c r="H1065" s="3"/>
      <c r="I1065" s="3"/>
      <c r="K1065" s="3"/>
      <c r="L1065" s="3"/>
      <c r="X1065" s="4"/>
      <c r="Z1065" s="3"/>
      <c r="AD1065" s="3"/>
      <c r="AE1065" s="3"/>
      <c r="AK1065" s="5"/>
    </row>
    <row r="1066" spans="2:37" x14ac:dyDescent="0.25">
      <c r="B1066" s="1"/>
      <c r="D1066" s="3"/>
      <c r="E1066" s="2"/>
      <c r="G1066" s="3"/>
      <c r="H1066" s="3"/>
      <c r="I1066" s="3"/>
      <c r="K1066" s="3"/>
      <c r="L1066" s="3"/>
      <c r="X1066" s="4"/>
      <c r="Z1066" s="3"/>
      <c r="AD1066" s="3"/>
      <c r="AE1066" s="3"/>
      <c r="AK1066" s="5"/>
    </row>
    <row r="1067" spans="2:37" x14ac:dyDescent="0.25">
      <c r="B1067" s="1"/>
      <c r="E1067" s="2"/>
      <c r="H1067" s="3"/>
      <c r="I1067" s="3"/>
      <c r="K1067" s="3"/>
      <c r="L1067" s="3"/>
      <c r="X1067" s="4"/>
      <c r="AB1067" s="3"/>
      <c r="AD1067" s="3"/>
      <c r="AE1067" s="3"/>
      <c r="AK1067" s="5"/>
    </row>
    <row r="1068" spans="2:37" x14ac:dyDescent="0.25">
      <c r="B1068" s="1"/>
      <c r="D1068" s="3"/>
      <c r="E1068" s="2"/>
      <c r="G1068" s="3"/>
      <c r="H1068" s="3"/>
      <c r="I1068" s="3"/>
      <c r="K1068" s="3"/>
      <c r="L1068" s="3"/>
      <c r="X1068" s="4"/>
      <c r="AD1068" s="3"/>
      <c r="AE1068" s="3"/>
      <c r="AK1068" s="5"/>
    </row>
    <row r="1069" spans="2:37" x14ac:dyDescent="0.25">
      <c r="B1069" s="3"/>
      <c r="E1069" s="2"/>
      <c r="G1069" s="3"/>
      <c r="H1069" s="3"/>
      <c r="I1069" s="3"/>
      <c r="K1069" s="3"/>
      <c r="L1069" s="3"/>
      <c r="X1069" s="4"/>
      <c r="AD1069" s="3"/>
      <c r="AK1069" s="5"/>
    </row>
    <row r="1070" spans="2:37" x14ac:dyDescent="0.25">
      <c r="B1070" s="1"/>
      <c r="D1070" s="3"/>
      <c r="E1070" s="2"/>
      <c r="G1070" s="3"/>
      <c r="H1070" s="3"/>
      <c r="I1070" s="3"/>
      <c r="K1070" s="3"/>
      <c r="L1070" s="3"/>
      <c r="X1070" s="4"/>
      <c r="Z1070" s="3"/>
      <c r="AE1070" s="3"/>
      <c r="AK1070" s="5"/>
    </row>
    <row r="1071" spans="2:37" x14ac:dyDescent="0.25">
      <c r="B1071" s="1"/>
      <c r="E1071" s="2"/>
      <c r="H1071" s="3"/>
      <c r="I1071" s="3"/>
      <c r="K1071" s="3"/>
      <c r="L1071" s="3"/>
      <c r="X1071" s="4"/>
      <c r="AE1071" s="3"/>
      <c r="AK1071" s="5"/>
    </row>
    <row r="1072" spans="2:37" x14ac:dyDescent="0.25">
      <c r="B1072" s="1"/>
      <c r="D1072" s="3"/>
      <c r="E1072" s="2"/>
      <c r="G1072" s="3"/>
      <c r="H1072" s="3"/>
      <c r="I1072" s="3"/>
      <c r="K1072" s="3"/>
      <c r="L1072" s="3"/>
      <c r="X1072" s="4"/>
      <c r="Z1072" s="3"/>
      <c r="AE1072" s="3"/>
      <c r="AK1072" s="5"/>
    </row>
    <row r="1073" spans="2:37" x14ac:dyDescent="0.25">
      <c r="B1073" s="1"/>
      <c r="E1073" s="2"/>
      <c r="H1073" s="3"/>
      <c r="I1073" s="3"/>
      <c r="K1073" s="3"/>
      <c r="L1073" s="3"/>
      <c r="X1073" s="4"/>
    </row>
    <row r="1074" spans="2:37" x14ac:dyDescent="0.25">
      <c r="B1074" s="3"/>
      <c r="D1074" s="3"/>
      <c r="G1074" s="3"/>
    </row>
    <row r="1075" spans="2:37" x14ac:dyDescent="0.25">
      <c r="B1075" s="1"/>
      <c r="E1075" s="2"/>
      <c r="H1075" s="3"/>
      <c r="I1075" s="3"/>
      <c r="K1075" s="3"/>
      <c r="L1075" s="3"/>
      <c r="X1075" s="4"/>
      <c r="Z1075" s="3"/>
      <c r="AE1075" s="3"/>
      <c r="AK1075" s="5"/>
    </row>
    <row r="1076" spans="2:37" x14ac:dyDescent="0.25">
      <c r="B1076" s="1"/>
      <c r="D1076" s="3"/>
      <c r="E1076" s="2"/>
      <c r="G1076" s="3"/>
      <c r="H1076" s="3"/>
      <c r="I1076" s="3"/>
      <c r="K1076" s="3"/>
      <c r="X1076" s="4"/>
      <c r="AE1076" s="3"/>
      <c r="AK1076" s="5"/>
    </row>
    <row r="1077" spans="2:37" x14ac:dyDescent="0.25">
      <c r="B1077" s="1"/>
      <c r="E1077" s="2"/>
      <c r="H1077" s="3"/>
      <c r="I1077" s="3"/>
      <c r="K1077" s="3"/>
      <c r="L1077" s="3"/>
      <c r="X1077" s="4"/>
      <c r="AB1077" s="3"/>
      <c r="AE1077" s="3"/>
      <c r="AK1077" s="5"/>
    </row>
    <row r="1078" spans="2:37" x14ac:dyDescent="0.25">
      <c r="B1078" s="1"/>
      <c r="D1078" s="3"/>
      <c r="E1078" s="2"/>
      <c r="G1078" s="3"/>
      <c r="H1078" s="3"/>
      <c r="I1078" s="3"/>
      <c r="K1078" s="3"/>
      <c r="X1078" s="4"/>
    </row>
    <row r="1079" spans="2:37" x14ac:dyDescent="0.25">
      <c r="B1079" s="1"/>
      <c r="E1079" s="2"/>
      <c r="H1079" s="3"/>
      <c r="I1079" s="3"/>
      <c r="K1079" s="3"/>
      <c r="L1079" s="3"/>
      <c r="X1079" s="4"/>
      <c r="Z1079" s="3"/>
      <c r="AB1079" s="3"/>
      <c r="AE1079" s="3"/>
      <c r="AK1079" s="5"/>
    </row>
    <row r="1080" spans="2:37" x14ac:dyDescent="0.25">
      <c r="B1080" s="1"/>
      <c r="D1080" s="3"/>
      <c r="E1080" s="2"/>
      <c r="G1080" s="3"/>
      <c r="H1080" s="3"/>
      <c r="I1080" s="3"/>
      <c r="K1080" s="3"/>
      <c r="X1080" s="4"/>
      <c r="AE1080" s="3"/>
      <c r="AK1080" s="5"/>
    </row>
    <row r="1081" spans="2:37" x14ac:dyDescent="0.25">
      <c r="B1081" s="1"/>
      <c r="E1081" s="2"/>
      <c r="H1081" s="3"/>
      <c r="I1081" s="3"/>
      <c r="K1081" s="3"/>
      <c r="L1081" s="3"/>
      <c r="X1081" s="4"/>
      <c r="Z1081" s="3"/>
      <c r="AE1081" s="3"/>
      <c r="AK1081" s="5"/>
    </row>
    <row r="1082" spans="2:37" x14ac:dyDescent="0.25">
      <c r="D1082" s="3"/>
      <c r="G1082" s="3"/>
    </row>
    <row r="1083" spans="2:37" x14ac:dyDescent="0.25">
      <c r="B1083" s="1"/>
      <c r="E1083" s="2"/>
      <c r="H1083" s="3"/>
      <c r="I1083" s="3"/>
      <c r="K1083" s="3"/>
      <c r="L1083" s="3"/>
      <c r="X1083" s="4"/>
      <c r="Z1083" s="3"/>
      <c r="AD1083" s="3"/>
      <c r="AE1083" s="3"/>
      <c r="AK1083" s="5"/>
    </row>
    <row r="1084" spans="2:37" x14ac:dyDescent="0.25">
      <c r="B1084" s="1"/>
      <c r="D1084" s="3"/>
      <c r="E1084" s="2"/>
      <c r="G1084" s="3"/>
      <c r="H1084" s="3"/>
      <c r="I1084" s="3"/>
      <c r="K1084" s="3"/>
      <c r="L1084" s="3"/>
      <c r="X1084" s="4"/>
      <c r="Z1084" s="3"/>
      <c r="AE1084" s="3"/>
      <c r="AK1084" s="5"/>
    </row>
    <row r="1085" spans="2:37" x14ac:dyDescent="0.25">
      <c r="B1085" s="1"/>
      <c r="E1085" s="2"/>
      <c r="H1085" s="3"/>
      <c r="I1085" s="3"/>
      <c r="K1085" s="3"/>
      <c r="L1085" s="3"/>
      <c r="X1085" s="4"/>
      <c r="Z1085" s="3"/>
      <c r="AE1085" s="3"/>
      <c r="AK1085" s="5"/>
    </row>
    <row r="1086" spans="2:37" x14ac:dyDescent="0.25">
      <c r="B1086" s="1"/>
      <c r="E1086" s="2"/>
      <c r="G1086" s="3"/>
      <c r="H1086" s="3"/>
      <c r="I1086" s="3"/>
      <c r="K1086" s="3"/>
      <c r="L1086" s="3"/>
      <c r="X1086" s="4"/>
      <c r="Z1086" s="3"/>
      <c r="AE1086" s="3"/>
      <c r="AK1086" s="5"/>
    </row>
    <row r="1087" spans="2:37" x14ac:dyDescent="0.25">
      <c r="B1087" s="1"/>
      <c r="E1087" s="2"/>
      <c r="H1087" s="3"/>
      <c r="I1087" s="3"/>
      <c r="K1087" s="3"/>
      <c r="L1087" s="3"/>
      <c r="X1087" s="4"/>
      <c r="Z1087" s="3"/>
      <c r="AE1087" s="3"/>
      <c r="AK1087" s="5"/>
    </row>
    <row r="1088" spans="2:37" x14ac:dyDescent="0.25">
      <c r="B1088" s="1"/>
      <c r="E1088" s="2"/>
      <c r="H1088" s="3"/>
      <c r="I1088" s="3"/>
      <c r="K1088" s="3"/>
      <c r="L1088" s="3"/>
      <c r="X1088" s="4"/>
      <c r="Z1088" s="3"/>
      <c r="AE1088" s="3"/>
      <c r="AK1088" s="5"/>
    </row>
    <row r="1089" spans="2:37" x14ac:dyDescent="0.25">
      <c r="B1089" s="1"/>
      <c r="E1089" s="2"/>
      <c r="F1089" s="3"/>
      <c r="G1089" s="3"/>
      <c r="H1089" s="3"/>
      <c r="I1089" s="3"/>
      <c r="K1089" s="3"/>
      <c r="X1089" s="4"/>
    </row>
    <row r="1090" spans="2:37" x14ac:dyDescent="0.25">
      <c r="B1090" s="1"/>
      <c r="E1090" s="2"/>
      <c r="H1090" s="3"/>
      <c r="I1090" s="3"/>
      <c r="K1090" s="3"/>
      <c r="L1090" s="3"/>
      <c r="X1090" s="4"/>
    </row>
    <row r="1091" spans="2:37" x14ac:dyDescent="0.25">
      <c r="B1091" s="1"/>
      <c r="E1091" s="2"/>
      <c r="F1091" s="3"/>
      <c r="G1091" s="3"/>
      <c r="H1091" s="3"/>
      <c r="I1091" s="3"/>
      <c r="K1091" s="3"/>
      <c r="X1091" s="4"/>
      <c r="AE1091" s="3"/>
      <c r="AK1091" s="5"/>
    </row>
    <row r="1092" spans="2:37" x14ac:dyDescent="0.25">
      <c r="B1092" s="1"/>
      <c r="E1092" s="2"/>
      <c r="H1092" s="3"/>
      <c r="I1092" s="3"/>
      <c r="K1092" s="3"/>
      <c r="L1092" s="3"/>
      <c r="X1092" s="4"/>
    </row>
    <row r="1093" spans="2:37" x14ac:dyDescent="0.25">
      <c r="B1093" s="1"/>
      <c r="E1093" s="2"/>
      <c r="F1093" s="3"/>
      <c r="G1093" s="3"/>
      <c r="H1093" s="3"/>
      <c r="I1093" s="3"/>
      <c r="K1093" s="3"/>
      <c r="L1093" s="3"/>
      <c r="X1093" s="4"/>
      <c r="AB1093" s="3"/>
      <c r="AE1093" s="3"/>
      <c r="AK1093" s="5"/>
    </row>
    <row r="1094" spans="2:37" x14ac:dyDescent="0.25">
      <c r="B1094" s="1"/>
      <c r="E1094" s="2"/>
      <c r="H1094" s="3"/>
      <c r="I1094" s="3"/>
      <c r="K1094" s="3"/>
      <c r="L1094" s="3"/>
      <c r="X1094" s="4"/>
      <c r="AB1094" s="3"/>
      <c r="AE1094" s="3"/>
      <c r="AK1094" s="5"/>
    </row>
    <row r="1095" spans="2:37" x14ac:dyDescent="0.25">
      <c r="B1095" s="1"/>
      <c r="E1095" s="2"/>
      <c r="F1095" s="3"/>
      <c r="G1095" s="3"/>
      <c r="H1095" s="3"/>
      <c r="I1095" s="3"/>
      <c r="K1095" s="3"/>
      <c r="L1095" s="3"/>
      <c r="AB1095" s="3"/>
      <c r="AE1095" s="3"/>
      <c r="AK1095" s="5"/>
    </row>
    <row r="1096" spans="2:37" x14ac:dyDescent="0.25">
      <c r="B1096" s="1"/>
      <c r="E1096" s="2"/>
      <c r="H1096" s="3"/>
      <c r="I1096" s="3"/>
      <c r="K1096" s="3"/>
      <c r="L1096" s="3"/>
      <c r="X1096" s="4"/>
      <c r="Z1096" s="3"/>
      <c r="AB1096" s="3"/>
      <c r="AE1096" s="3"/>
      <c r="AK1096" s="5"/>
    </row>
    <row r="1097" spans="2:37" x14ac:dyDescent="0.25">
      <c r="B1097" s="1"/>
      <c r="E1097" s="2"/>
      <c r="F1097" s="3"/>
      <c r="G1097" s="3"/>
      <c r="H1097" s="3"/>
      <c r="I1097" s="3"/>
      <c r="K1097" s="3"/>
      <c r="L1097" s="3"/>
      <c r="X1097" s="4"/>
      <c r="AB1097" s="3"/>
      <c r="AE1097" s="3"/>
      <c r="AK1097" s="5"/>
    </row>
    <row r="1098" spans="2:37" x14ac:dyDescent="0.25">
      <c r="B1098" s="1"/>
      <c r="E1098" s="2"/>
      <c r="H1098" s="3"/>
      <c r="I1098" s="3"/>
      <c r="K1098" s="3"/>
      <c r="L1098" s="3"/>
      <c r="X1098" s="4"/>
      <c r="AB1098" s="3"/>
      <c r="AE1098" s="3"/>
      <c r="AK1098" s="5"/>
    </row>
    <row r="1099" spans="2:37" x14ac:dyDescent="0.25">
      <c r="B1099" s="1"/>
      <c r="E1099" s="2"/>
      <c r="H1099" s="3"/>
      <c r="I1099" s="3"/>
      <c r="K1099" s="3"/>
      <c r="L1099" s="3"/>
      <c r="X1099" s="4"/>
      <c r="AB1099" s="3"/>
      <c r="AE1099" s="3"/>
      <c r="AK1099" s="5"/>
    </row>
    <row r="1100" spans="2:37" x14ac:dyDescent="0.25">
      <c r="B1100" s="1"/>
      <c r="D1100" s="3"/>
      <c r="E1100" s="2"/>
      <c r="G1100" s="3"/>
      <c r="H1100" s="3"/>
      <c r="I1100" s="3"/>
      <c r="K1100" s="3"/>
      <c r="X1100" s="4"/>
      <c r="AE1100" s="3"/>
      <c r="AK1100" s="5"/>
    </row>
    <row r="1101" spans="2:37" x14ac:dyDescent="0.25">
      <c r="B1101" s="1"/>
      <c r="E1101" s="2"/>
      <c r="H1101" s="3"/>
      <c r="I1101" s="3"/>
      <c r="K1101" s="3"/>
      <c r="L1101" s="3"/>
      <c r="X1101" s="4"/>
      <c r="AA1101" s="3"/>
      <c r="AB1101" s="3"/>
      <c r="AD1101" s="3"/>
      <c r="AE1101" s="3"/>
      <c r="AK1101" s="5"/>
    </row>
    <row r="1102" spans="2:37" x14ac:dyDescent="0.25">
      <c r="B1102" s="1"/>
      <c r="E1102" s="2"/>
      <c r="H1102" s="3"/>
      <c r="I1102" s="3"/>
      <c r="K1102" s="3"/>
      <c r="L1102" s="3"/>
      <c r="X1102" s="4"/>
      <c r="AA1102" s="3"/>
      <c r="AE1102" s="3"/>
      <c r="AK1102" s="5"/>
    </row>
    <row r="1103" spans="2:37" x14ac:dyDescent="0.25">
      <c r="B1103" s="1"/>
      <c r="E1103" s="2"/>
      <c r="G1103" s="3"/>
      <c r="H1103" s="3"/>
      <c r="I1103" s="3"/>
      <c r="K1103" s="3"/>
      <c r="L1103" s="3"/>
      <c r="X1103" s="4"/>
      <c r="Z1103" s="3"/>
      <c r="AE1103" s="3"/>
      <c r="AK1103" s="5"/>
    </row>
    <row r="1104" spans="2:37" x14ac:dyDescent="0.25">
      <c r="B1104" s="1"/>
      <c r="E1104" s="2"/>
      <c r="H1104" s="3"/>
      <c r="I1104" s="3"/>
      <c r="K1104" s="3"/>
      <c r="L1104" s="3"/>
      <c r="X1104" s="4"/>
      <c r="AE1104" s="3"/>
      <c r="AK1104" s="5"/>
    </row>
    <row r="1105" spans="2:37" x14ac:dyDescent="0.25">
      <c r="B1105" s="3"/>
      <c r="E1105" s="2"/>
      <c r="G1105" s="3"/>
      <c r="H1105" s="3"/>
      <c r="I1105" s="3"/>
      <c r="K1105" s="3"/>
      <c r="X1105" s="4"/>
      <c r="AE1105" s="3"/>
      <c r="AK1105" s="5"/>
    </row>
    <row r="1106" spans="2:37" x14ac:dyDescent="0.25">
      <c r="B1106" s="1"/>
      <c r="E1106" s="2"/>
      <c r="H1106" s="3"/>
      <c r="I1106" s="3"/>
      <c r="K1106" s="3"/>
      <c r="X1106" s="4"/>
      <c r="AE1106" s="3"/>
      <c r="AK1106" s="5"/>
    </row>
    <row r="1107" spans="2:37" x14ac:dyDescent="0.25">
      <c r="B1107" s="1"/>
      <c r="E1107" s="2"/>
      <c r="H1107" s="3"/>
      <c r="I1107" s="3"/>
      <c r="K1107" s="3"/>
      <c r="L1107" s="3"/>
      <c r="X1107" s="4"/>
      <c r="Z1107" s="3"/>
      <c r="AE1107" s="3"/>
      <c r="AK1107" s="5"/>
    </row>
    <row r="1108" spans="2:37" x14ac:dyDescent="0.25">
      <c r="B1108" s="1"/>
      <c r="E1108" s="2"/>
      <c r="G1108" s="3"/>
      <c r="H1108" s="3"/>
      <c r="I1108" s="3"/>
      <c r="K1108" s="3"/>
      <c r="L1108" s="3"/>
      <c r="X1108" s="4"/>
      <c r="AK1108" s="5"/>
    </row>
    <row r="1109" spans="2:37" x14ac:dyDescent="0.25">
      <c r="B1109" s="1"/>
      <c r="E1109" s="2"/>
      <c r="G1109" s="3"/>
      <c r="H1109" s="3"/>
      <c r="I1109" s="3"/>
      <c r="K1109" s="3"/>
      <c r="X1109" s="4"/>
      <c r="AE1109" s="3"/>
      <c r="AK1109" s="5"/>
    </row>
    <row r="1110" spans="2:37" x14ac:dyDescent="0.25">
      <c r="B1110" s="1"/>
      <c r="E1110" s="2"/>
      <c r="H1110" s="3"/>
      <c r="I1110" s="3"/>
      <c r="K1110" s="3"/>
      <c r="L1110" s="3"/>
      <c r="X1110" s="4"/>
      <c r="AD1110" s="3"/>
      <c r="AE1110" s="3"/>
      <c r="AK1110" s="5"/>
    </row>
    <row r="1111" spans="2:37" x14ac:dyDescent="0.25">
      <c r="B1111" s="1"/>
      <c r="E1111" s="2"/>
      <c r="H1111" s="3"/>
      <c r="I1111" s="3"/>
      <c r="K1111" s="3"/>
      <c r="L1111" s="3"/>
      <c r="X1111" s="4"/>
      <c r="AB1111" s="3"/>
      <c r="AE1111" s="3"/>
      <c r="AK1111" s="5"/>
    </row>
    <row r="1112" spans="2:37" x14ac:dyDescent="0.25">
      <c r="B1112" s="1"/>
      <c r="E1112" s="2"/>
      <c r="H1112" s="3"/>
      <c r="I1112" s="3"/>
      <c r="K1112" s="3"/>
      <c r="L1112" s="3"/>
      <c r="X1112" s="4"/>
      <c r="AK1112" s="5"/>
    </row>
    <row r="1113" spans="2:37" x14ac:dyDescent="0.25">
      <c r="B1113" s="1"/>
      <c r="D1113" s="3"/>
      <c r="E1113" s="2"/>
      <c r="G1113" s="3"/>
      <c r="H1113" s="3"/>
      <c r="I1113" s="3"/>
      <c r="K1113" s="3"/>
      <c r="L1113" s="3"/>
      <c r="X1113" s="4"/>
      <c r="AB1113" s="3"/>
      <c r="AE1113" s="3"/>
      <c r="AK1113" s="5"/>
    </row>
    <row r="1114" spans="2:37" x14ac:dyDescent="0.25">
      <c r="B1114" s="1"/>
      <c r="E1114" s="2"/>
      <c r="H1114" s="3"/>
      <c r="I1114" s="3"/>
      <c r="K1114" s="3"/>
      <c r="L1114" s="3"/>
      <c r="X1114" s="4"/>
      <c r="AB1114" s="3"/>
      <c r="AD1114" s="3"/>
      <c r="AE1114" s="3"/>
      <c r="AK1114" s="5"/>
    </row>
    <row r="1115" spans="2:37" x14ac:dyDescent="0.25">
      <c r="B1115" s="1"/>
      <c r="E1115" s="2"/>
      <c r="G1115" s="3"/>
      <c r="H1115" s="3"/>
      <c r="I1115" s="3"/>
      <c r="K1115" s="3"/>
      <c r="L1115" s="3"/>
      <c r="X1115" s="4"/>
      <c r="AB1115" s="3"/>
      <c r="AE1115" s="3"/>
      <c r="AK1115" s="5"/>
    </row>
    <row r="1116" spans="2:37" x14ac:dyDescent="0.25">
      <c r="B1116" s="1"/>
      <c r="E1116" s="2"/>
      <c r="H1116" s="3"/>
      <c r="I1116" s="3"/>
      <c r="K1116" s="3"/>
      <c r="L1116" s="3"/>
      <c r="X1116" s="4"/>
      <c r="AK1116" s="5"/>
    </row>
    <row r="1117" spans="2:37" x14ac:dyDescent="0.25">
      <c r="B1117" s="3"/>
      <c r="E1117" s="2"/>
      <c r="F1117" s="3"/>
      <c r="G1117" s="3"/>
      <c r="H1117" s="3"/>
      <c r="I1117" s="3"/>
      <c r="K1117" s="3"/>
      <c r="X1117" s="4"/>
      <c r="AK1117" s="5"/>
    </row>
    <row r="1118" spans="2:37" x14ac:dyDescent="0.25">
      <c r="B1118" s="1"/>
      <c r="E1118" s="2"/>
      <c r="H1118" s="3"/>
      <c r="I1118" s="3"/>
      <c r="K1118" s="3"/>
      <c r="L1118" s="3"/>
      <c r="X1118" s="4"/>
      <c r="AK1118" s="5"/>
    </row>
    <row r="1119" spans="2:37" x14ac:dyDescent="0.25">
      <c r="B1119" s="3"/>
      <c r="E1119" s="2"/>
      <c r="F1119" s="3"/>
      <c r="G1119" s="3"/>
      <c r="H1119" s="3"/>
      <c r="I1119" s="3"/>
      <c r="K1119" s="3"/>
      <c r="X1119" s="4"/>
      <c r="AK1119" s="5"/>
    </row>
    <row r="1120" spans="2:37" x14ac:dyDescent="0.25">
      <c r="B1120" s="1"/>
      <c r="E1120" s="2"/>
      <c r="H1120" s="3"/>
      <c r="I1120" s="3"/>
      <c r="K1120" s="3"/>
      <c r="L1120" s="3"/>
      <c r="X1120" s="4"/>
      <c r="AK1120" s="5"/>
    </row>
    <row r="1121" spans="2:37" x14ac:dyDescent="0.25">
      <c r="B1121" s="3"/>
      <c r="E1121" s="2"/>
      <c r="F1121" s="3"/>
      <c r="G1121" s="3"/>
      <c r="H1121" s="3"/>
      <c r="I1121" s="3"/>
      <c r="K1121" s="3"/>
      <c r="X1121" s="4"/>
      <c r="AE1121" s="3"/>
      <c r="AK1121" s="5"/>
    </row>
    <row r="1122" spans="2:37" x14ac:dyDescent="0.25">
      <c r="B1122" s="1"/>
      <c r="E1122" s="2"/>
      <c r="H1122" s="3"/>
      <c r="I1122" s="3"/>
      <c r="K1122" s="3"/>
      <c r="L1122" s="3"/>
      <c r="X1122" s="4"/>
      <c r="Z1122" s="3"/>
      <c r="AD1122" s="3"/>
      <c r="AE1122" s="3"/>
      <c r="AK1122" s="5"/>
    </row>
    <row r="1123" spans="2:37" x14ac:dyDescent="0.25">
      <c r="B1123" s="1"/>
      <c r="E1123" s="2"/>
      <c r="G1123" s="3"/>
      <c r="H1123" s="3"/>
      <c r="I1123" s="3"/>
      <c r="K1123" s="3"/>
      <c r="L1123" s="3"/>
      <c r="X1123" s="4"/>
      <c r="AD1123" s="3"/>
      <c r="AE1123" s="3"/>
      <c r="AK1123" s="5"/>
    </row>
    <row r="1124" spans="2:37" x14ac:dyDescent="0.25">
      <c r="B1124" s="1"/>
      <c r="E1124" s="2"/>
      <c r="H1124" s="3"/>
      <c r="I1124" s="3"/>
      <c r="K1124" s="3"/>
      <c r="L1124" s="3"/>
      <c r="X1124" s="4"/>
      <c r="AK1124" s="5"/>
    </row>
    <row r="1125" spans="2:37" x14ac:dyDescent="0.25">
      <c r="B1125" s="1"/>
      <c r="E1125" s="2"/>
      <c r="F1125" s="3"/>
      <c r="G1125" s="3"/>
      <c r="H1125" s="3"/>
      <c r="I1125" s="3"/>
      <c r="K1125" s="3"/>
      <c r="L1125" s="3"/>
      <c r="X1125" s="4"/>
      <c r="AK1125" s="5"/>
    </row>
    <row r="1126" spans="2:37" x14ac:dyDescent="0.25">
      <c r="B1126" s="3"/>
      <c r="E1126" s="2"/>
      <c r="G1126" s="3"/>
      <c r="H1126" s="3"/>
      <c r="I1126" s="3"/>
      <c r="K1126" s="3"/>
      <c r="L1126" s="3"/>
      <c r="X1126" s="4"/>
      <c r="AK1126" s="5"/>
    </row>
    <row r="1127" spans="2:37" x14ac:dyDescent="0.25">
      <c r="B1127" s="1"/>
      <c r="E1127" s="2"/>
      <c r="F1127" s="3"/>
      <c r="G1127" s="3"/>
      <c r="H1127" s="3"/>
      <c r="I1127" s="3"/>
      <c r="K1127" s="3"/>
      <c r="X1127" s="4"/>
      <c r="AK1127" s="5"/>
    </row>
    <row r="1128" spans="2:37" x14ac:dyDescent="0.25">
      <c r="B1128" s="1"/>
      <c r="E1128" s="2"/>
      <c r="H1128" s="3"/>
      <c r="I1128" s="3"/>
      <c r="K1128" s="3"/>
      <c r="X1128" s="4"/>
      <c r="AK1128" s="5"/>
    </row>
    <row r="1129" spans="2:37" x14ac:dyDescent="0.25">
      <c r="B1129" s="1"/>
      <c r="E1129" s="2"/>
      <c r="H1129" s="3"/>
      <c r="I1129" s="3"/>
      <c r="K1129" s="3"/>
      <c r="X1129" s="4"/>
      <c r="AK1129" s="5"/>
    </row>
    <row r="1130" spans="2:37" x14ac:dyDescent="0.25">
      <c r="B1130" s="1"/>
      <c r="E1130" s="2"/>
      <c r="H1130" s="3"/>
      <c r="I1130" s="3"/>
      <c r="K1130" s="3"/>
      <c r="L1130" s="3"/>
      <c r="X1130" s="4"/>
      <c r="AK1130" s="5"/>
    </row>
    <row r="1131" spans="2:37" x14ac:dyDescent="0.25">
      <c r="B1131" s="1"/>
      <c r="D1131" s="3"/>
      <c r="E1131" s="2"/>
      <c r="F1131" s="3"/>
      <c r="G1131" s="3"/>
      <c r="H1131" s="3"/>
      <c r="I1131" s="3"/>
      <c r="K1131" s="3"/>
      <c r="L1131" s="3"/>
      <c r="X1131" s="4"/>
    </row>
    <row r="1132" spans="2:37" x14ac:dyDescent="0.25">
      <c r="B1132" s="3"/>
      <c r="E1132" s="2"/>
      <c r="G1132" s="3"/>
      <c r="H1132" s="3"/>
      <c r="I1132" s="3"/>
      <c r="K1132" s="3"/>
      <c r="L1132" s="3"/>
      <c r="X1132" s="4"/>
      <c r="AD1132" s="3"/>
      <c r="AE1132" s="3"/>
      <c r="AK1132" s="5"/>
    </row>
    <row r="1133" spans="2:37" x14ac:dyDescent="0.25">
      <c r="B1133" s="1"/>
      <c r="E1133" s="2"/>
      <c r="F1133" s="3"/>
      <c r="G1133" s="3"/>
      <c r="H1133" s="3"/>
      <c r="I1133" s="3"/>
      <c r="K1133" s="3"/>
      <c r="L1133" s="3"/>
      <c r="X1133" s="4"/>
      <c r="AB1133" s="3"/>
      <c r="AD1133" s="3"/>
      <c r="AE1133" s="3"/>
      <c r="AK1133" s="5"/>
    </row>
    <row r="1134" spans="2:37" x14ac:dyDescent="0.25">
      <c r="B1134" s="1"/>
      <c r="E1134" s="2"/>
      <c r="H1134" s="3"/>
      <c r="I1134" s="3"/>
      <c r="K1134" s="3"/>
      <c r="L1134" s="3"/>
      <c r="X1134" s="4"/>
      <c r="AD1134" s="3"/>
      <c r="AE1134" s="3"/>
      <c r="AK1134" s="5"/>
    </row>
    <row r="1135" spans="2:37" x14ac:dyDescent="0.25">
      <c r="B1135" s="1"/>
      <c r="E1135" s="2"/>
      <c r="F1135" s="3"/>
      <c r="G1135" s="3"/>
      <c r="H1135" s="3"/>
      <c r="I1135" s="3"/>
      <c r="K1135" s="3"/>
      <c r="L1135" s="3"/>
      <c r="X1135" s="4"/>
      <c r="AD1135" s="3"/>
      <c r="AE1135" s="3"/>
      <c r="AK1135" s="5"/>
    </row>
    <row r="1136" spans="2:37" x14ac:dyDescent="0.25">
      <c r="B1136" s="1"/>
      <c r="E1136" s="2"/>
      <c r="H1136" s="3"/>
      <c r="I1136" s="3"/>
      <c r="K1136" s="3"/>
      <c r="L1136" s="3"/>
      <c r="X1136" s="4"/>
      <c r="AB1136" s="3"/>
      <c r="AD1136" s="3"/>
      <c r="AE1136" s="3"/>
      <c r="AK1136" s="5"/>
    </row>
    <row r="1137" spans="2:37" x14ac:dyDescent="0.25">
      <c r="B1137" s="1"/>
      <c r="E1137" s="2"/>
      <c r="H1137" s="3"/>
      <c r="I1137" s="3"/>
      <c r="K1137" s="3"/>
      <c r="L1137" s="3"/>
      <c r="X1137" s="4"/>
      <c r="Z1137" s="3"/>
      <c r="AD1137" s="3"/>
      <c r="AE1137" s="3"/>
      <c r="AK1137" s="5"/>
    </row>
    <row r="1138" spans="2:37" x14ac:dyDescent="0.25">
      <c r="B1138" s="1"/>
      <c r="E1138" s="2"/>
      <c r="H1138" s="3"/>
      <c r="I1138" s="3"/>
      <c r="K1138" s="3"/>
      <c r="L1138" s="3"/>
      <c r="X1138" s="4"/>
      <c r="AD1138" s="3"/>
      <c r="AE1138" s="3"/>
      <c r="AK1138" s="5"/>
    </row>
    <row r="1139" spans="2:37" x14ac:dyDescent="0.25">
      <c r="B1139" s="1"/>
      <c r="E1139" s="2"/>
      <c r="H1139" s="3"/>
      <c r="I1139" s="3"/>
      <c r="K1139" s="3"/>
      <c r="L1139" s="3"/>
      <c r="X1139" s="4"/>
      <c r="Z1139" s="3"/>
      <c r="AE1139" s="3"/>
      <c r="AK1139" s="5"/>
    </row>
    <row r="1140" spans="2:37" x14ac:dyDescent="0.25">
      <c r="B1140" s="1"/>
      <c r="E1140" s="2"/>
      <c r="H1140" s="3"/>
      <c r="I1140" s="3"/>
      <c r="K1140" s="3"/>
      <c r="L1140" s="3"/>
      <c r="X1140" s="4"/>
      <c r="AK1140" s="5"/>
    </row>
    <row r="1141" spans="2:37" x14ac:dyDescent="0.25">
      <c r="B1141" s="1"/>
      <c r="D1141" s="3"/>
      <c r="E1141" s="2"/>
      <c r="H1141" s="3"/>
      <c r="I1141" s="3"/>
      <c r="K1141" s="3"/>
      <c r="X1141" s="4"/>
      <c r="AE1141" s="3"/>
      <c r="AK1141" s="5"/>
    </row>
    <row r="1142" spans="2:37" x14ac:dyDescent="0.25">
      <c r="B1142" s="1"/>
      <c r="E1142" s="2"/>
      <c r="H1142" s="3"/>
      <c r="I1142" s="3"/>
      <c r="K1142" s="3"/>
      <c r="X1142" s="4"/>
      <c r="AK1142" s="5"/>
    </row>
    <row r="1143" spans="2:37" x14ac:dyDescent="0.25">
      <c r="B1143" s="1"/>
      <c r="E1143" s="2"/>
      <c r="H1143" s="3"/>
      <c r="I1143" s="3"/>
      <c r="K1143" s="3"/>
      <c r="L1143" s="3"/>
      <c r="X1143" s="4"/>
      <c r="Z1143" s="3"/>
      <c r="AE1143" s="3"/>
      <c r="AK1143" s="5"/>
    </row>
    <row r="1144" spans="2:37" x14ac:dyDescent="0.25">
      <c r="B1144" s="1"/>
      <c r="E1144" s="2"/>
      <c r="H1144" s="3"/>
      <c r="I1144" s="3"/>
      <c r="K1144" s="3"/>
      <c r="L1144" s="3"/>
      <c r="X1144" s="4"/>
    </row>
    <row r="1145" spans="2:37" x14ac:dyDescent="0.25">
      <c r="D1145" s="3"/>
      <c r="G1145" s="3"/>
    </row>
    <row r="1146" spans="2:37" x14ac:dyDescent="0.25">
      <c r="B1146" s="1"/>
      <c r="E1146" s="2"/>
      <c r="H1146" s="3"/>
      <c r="I1146" s="3"/>
      <c r="K1146" s="3"/>
      <c r="L1146" s="3"/>
      <c r="X1146" s="4"/>
      <c r="AB1146" s="3"/>
      <c r="AK1146" s="5"/>
    </row>
    <row r="1147" spans="2:37" x14ac:dyDescent="0.25">
      <c r="B1147" s="1"/>
      <c r="E1147" s="2"/>
      <c r="H1147" s="3"/>
      <c r="I1147" s="3"/>
      <c r="K1147" s="3"/>
      <c r="L1147" s="3"/>
      <c r="X1147" s="4"/>
      <c r="AB1147" s="3"/>
      <c r="AK1147" s="5"/>
    </row>
    <row r="1148" spans="2:37" x14ac:dyDescent="0.25">
      <c r="B1148" s="1"/>
      <c r="E1148" s="2"/>
      <c r="H1148" s="3"/>
      <c r="I1148" s="3"/>
      <c r="K1148" s="3"/>
      <c r="L1148" s="3"/>
      <c r="X1148" s="4"/>
      <c r="AB1148" s="3"/>
      <c r="AK1148" s="5"/>
    </row>
    <row r="1149" spans="2:37" x14ac:dyDescent="0.25">
      <c r="B1149" s="1"/>
      <c r="E1149" s="2"/>
      <c r="G1149" s="3"/>
      <c r="H1149" s="3"/>
      <c r="I1149" s="3"/>
      <c r="K1149" s="3"/>
      <c r="L1149" s="3"/>
      <c r="X1149" s="4"/>
      <c r="AB1149" s="3"/>
      <c r="AK1149" s="5"/>
    </row>
    <row r="1150" spans="2:37" x14ac:dyDescent="0.25">
      <c r="B1150" s="1"/>
      <c r="E1150" s="2"/>
      <c r="H1150" s="3"/>
      <c r="I1150" s="3"/>
      <c r="K1150" s="3"/>
      <c r="L1150" s="3"/>
      <c r="X1150" s="4"/>
      <c r="AB1150" s="3"/>
      <c r="AK1150" s="5"/>
    </row>
    <row r="1151" spans="2:37" x14ac:dyDescent="0.25">
      <c r="B1151" s="1"/>
      <c r="E1151" s="2"/>
      <c r="H1151" s="3"/>
      <c r="I1151" s="3"/>
      <c r="K1151" s="3"/>
      <c r="L1151" s="3"/>
      <c r="X1151" s="4"/>
    </row>
    <row r="1152" spans="2:37" x14ac:dyDescent="0.25">
      <c r="B1152" s="1"/>
      <c r="D1152" s="3"/>
      <c r="E1152" s="2"/>
      <c r="G1152" s="3"/>
      <c r="H1152" s="3"/>
      <c r="I1152" s="3"/>
      <c r="K1152" s="3"/>
      <c r="L1152" s="3"/>
      <c r="X1152" s="4"/>
      <c r="AD1152" s="3"/>
      <c r="AK1152" s="5"/>
    </row>
    <row r="1153" spans="2:37" x14ac:dyDescent="0.25">
      <c r="B1153" s="1"/>
      <c r="E1153" s="2"/>
      <c r="H1153" s="3"/>
      <c r="I1153" s="3"/>
      <c r="K1153" s="3"/>
      <c r="L1153" s="3"/>
      <c r="X1153" s="4"/>
      <c r="AB1153" s="3"/>
      <c r="AE1153" s="3"/>
      <c r="AK1153" s="5"/>
    </row>
    <row r="1154" spans="2:37" x14ac:dyDescent="0.25">
      <c r="B1154" s="1"/>
      <c r="E1154" s="2"/>
      <c r="H1154" s="3"/>
      <c r="I1154" s="3"/>
      <c r="K1154" s="3"/>
      <c r="L1154" s="3"/>
      <c r="X1154" s="4"/>
      <c r="Z1154" s="3"/>
      <c r="AB1154" s="3"/>
      <c r="AE1154" s="3"/>
      <c r="AK1154" s="5"/>
    </row>
    <row r="1155" spans="2:37" x14ac:dyDescent="0.25">
      <c r="B1155" s="1"/>
      <c r="D1155" s="3"/>
      <c r="E1155" s="2"/>
      <c r="G1155" s="3"/>
      <c r="H1155" s="3"/>
      <c r="I1155" s="3"/>
      <c r="K1155" s="3"/>
      <c r="L1155" s="3"/>
      <c r="X1155" s="4"/>
    </row>
    <row r="1156" spans="2:37" x14ac:dyDescent="0.25">
      <c r="B1156" s="3"/>
      <c r="E1156" s="2"/>
      <c r="G1156" s="3"/>
      <c r="H1156" s="3"/>
      <c r="I1156" s="3"/>
      <c r="K1156" s="3"/>
      <c r="X1156" s="4"/>
    </row>
    <row r="1157" spans="2:37" x14ac:dyDescent="0.25">
      <c r="B1157" s="1"/>
      <c r="E1157" s="2"/>
      <c r="H1157" s="3"/>
      <c r="I1157" s="3"/>
      <c r="K1157" s="3"/>
      <c r="L1157" s="3"/>
      <c r="X1157" s="4"/>
      <c r="AB1157" s="3"/>
      <c r="AE1157" s="3"/>
      <c r="AK1157" s="5"/>
    </row>
    <row r="1158" spans="2:37" x14ac:dyDescent="0.25">
      <c r="B1158" s="1"/>
      <c r="D1158" s="3"/>
      <c r="E1158" s="2"/>
      <c r="G1158" s="3"/>
      <c r="H1158" s="3"/>
      <c r="I1158" s="3"/>
      <c r="K1158" s="3"/>
      <c r="L1158" s="3"/>
      <c r="X1158" s="4"/>
    </row>
    <row r="1159" spans="2:37" x14ac:dyDescent="0.25">
      <c r="B1159" s="3"/>
      <c r="D1159" s="3"/>
      <c r="E1159" s="2"/>
      <c r="G1159" s="3"/>
      <c r="H1159" s="3"/>
      <c r="I1159" s="3"/>
      <c r="K1159" s="3"/>
      <c r="L1159" s="3"/>
      <c r="X1159" s="4"/>
    </row>
    <row r="1160" spans="2:37" x14ac:dyDescent="0.25">
      <c r="B1160" s="1"/>
      <c r="E1160" s="2"/>
      <c r="F1160" s="3"/>
      <c r="G1160" s="3"/>
      <c r="H1160" s="3"/>
      <c r="I1160" s="3"/>
      <c r="K1160" s="3"/>
      <c r="L1160" s="3"/>
      <c r="X1160" s="4"/>
    </row>
    <row r="1161" spans="2:37" x14ac:dyDescent="0.25">
      <c r="B1161" s="3"/>
      <c r="D1161" s="3"/>
      <c r="E1161" s="2"/>
      <c r="G1161" s="3"/>
      <c r="H1161" s="3"/>
      <c r="I1161" s="3"/>
      <c r="K1161" s="3"/>
      <c r="X1161" s="4"/>
      <c r="AK1161" s="5"/>
    </row>
    <row r="1162" spans="2:37" x14ac:dyDescent="0.25">
      <c r="B1162" s="1"/>
      <c r="E1162" s="2"/>
      <c r="H1162" s="3"/>
      <c r="I1162" s="3"/>
      <c r="K1162" s="3"/>
      <c r="L1162" s="3"/>
      <c r="X1162" s="4"/>
      <c r="AK1162" s="5"/>
    </row>
    <row r="1163" spans="2:37" x14ac:dyDescent="0.25">
      <c r="B1163" s="1"/>
      <c r="D1163" s="3"/>
      <c r="E1163" s="2"/>
      <c r="G1163" s="3"/>
      <c r="H1163" s="3"/>
      <c r="I1163" s="3"/>
      <c r="K1163" s="3"/>
      <c r="X1163" s="4"/>
    </row>
    <row r="1164" spans="2:37" x14ac:dyDescent="0.25">
      <c r="B1164" s="1"/>
      <c r="E1164" s="2"/>
      <c r="H1164" s="3"/>
      <c r="I1164" s="3"/>
      <c r="K1164" s="3"/>
      <c r="L1164" s="3"/>
      <c r="X1164" s="4"/>
    </row>
    <row r="1165" spans="2:37" x14ac:dyDescent="0.25">
      <c r="B1165" s="3"/>
      <c r="E1165" s="2"/>
      <c r="G1165" s="3"/>
      <c r="H1165" s="3"/>
      <c r="I1165" s="3"/>
      <c r="K1165" s="3"/>
      <c r="X1165" s="4"/>
      <c r="AK1165" s="5"/>
    </row>
    <row r="1166" spans="2:37" x14ac:dyDescent="0.25">
      <c r="B1166" s="1"/>
      <c r="E1166" s="2"/>
      <c r="H1166" s="3"/>
      <c r="I1166" s="3"/>
      <c r="K1166" s="3"/>
      <c r="L1166" s="3"/>
      <c r="X1166" s="4"/>
      <c r="AD1166" s="3"/>
      <c r="AE1166" s="3"/>
      <c r="AK1166" s="5"/>
    </row>
    <row r="1167" spans="2:37" x14ac:dyDescent="0.25">
      <c r="B1167" s="1"/>
      <c r="E1167" s="2"/>
      <c r="H1167" s="3"/>
      <c r="I1167" s="3"/>
      <c r="K1167" s="3"/>
      <c r="X1167" s="4"/>
    </row>
    <row r="1168" spans="2:37" x14ac:dyDescent="0.25">
      <c r="B1168" s="1"/>
      <c r="E1168" s="2"/>
      <c r="H1168" s="3"/>
      <c r="I1168" s="3"/>
      <c r="K1168" s="3"/>
      <c r="L1168" s="3"/>
      <c r="X1168" s="4"/>
    </row>
    <row r="1169" spans="2:37" x14ac:dyDescent="0.25">
      <c r="B1169" s="1"/>
      <c r="E1169" s="2"/>
      <c r="G1169" s="3"/>
      <c r="H1169" s="3"/>
      <c r="I1169" s="3"/>
      <c r="K1169" s="3"/>
      <c r="L1169" s="3"/>
      <c r="X1169" s="4"/>
    </row>
    <row r="1170" spans="2:37" x14ac:dyDescent="0.25">
      <c r="B1170" s="3"/>
      <c r="E1170" s="2"/>
      <c r="G1170" s="3"/>
      <c r="H1170" s="3"/>
      <c r="I1170" s="3"/>
      <c r="K1170" s="3"/>
      <c r="X1170" s="4"/>
    </row>
    <row r="1171" spans="2:37" x14ac:dyDescent="0.25">
      <c r="B1171" s="1"/>
      <c r="E1171" s="2"/>
      <c r="H1171" s="3"/>
      <c r="I1171" s="3"/>
      <c r="K1171" s="3"/>
      <c r="X1171" s="4"/>
    </row>
    <row r="1172" spans="2:37" x14ac:dyDescent="0.25">
      <c r="B1172" s="1"/>
      <c r="E1172" s="2"/>
      <c r="X1172" s="4"/>
    </row>
    <row r="1173" spans="2:37" x14ac:dyDescent="0.25">
      <c r="B1173" s="1"/>
      <c r="E1173" s="2"/>
      <c r="H1173" s="3"/>
      <c r="I1173" s="3"/>
      <c r="K1173" s="3"/>
      <c r="X1173" s="4"/>
      <c r="AE1173" s="3"/>
      <c r="AK1173" s="5"/>
    </row>
    <row r="1174" spans="2:37" x14ac:dyDescent="0.25">
      <c r="B1174" s="1"/>
      <c r="E1174" s="2"/>
      <c r="H1174" s="3"/>
      <c r="I1174" s="3"/>
      <c r="K1174" s="3"/>
      <c r="L1174" s="3"/>
      <c r="X1174" s="4"/>
      <c r="AB1174" s="3"/>
      <c r="AE1174" s="3"/>
      <c r="AK1174" s="5"/>
    </row>
    <row r="1175" spans="2:37" x14ac:dyDescent="0.25">
      <c r="B1175" s="1"/>
      <c r="E1175" s="2"/>
      <c r="H1175" s="3"/>
      <c r="I1175" s="3"/>
      <c r="K1175" s="3"/>
      <c r="L1175" s="3"/>
      <c r="X1175" s="4"/>
      <c r="Z1175" s="3"/>
      <c r="AE1175" s="3"/>
      <c r="AK1175" s="5"/>
    </row>
    <row r="1176" spans="2:37" x14ac:dyDescent="0.25">
      <c r="B1176" s="1"/>
      <c r="E1176" s="2"/>
      <c r="H1176" s="3"/>
      <c r="I1176" s="3"/>
      <c r="K1176" s="3"/>
      <c r="L1176" s="3"/>
      <c r="X1176" s="4"/>
      <c r="Z1176" s="3"/>
      <c r="AE1176" s="3"/>
      <c r="AK1176" s="5"/>
    </row>
    <row r="1177" spans="2:37" x14ac:dyDescent="0.25">
      <c r="B1177" s="1"/>
      <c r="D1177" s="3"/>
      <c r="E1177" s="2"/>
      <c r="H1177" s="3"/>
      <c r="I1177" s="3"/>
      <c r="K1177" s="3"/>
      <c r="X1177" s="4"/>
      <c r="AK1177" s="5"/>
    </row>
    <row r="1178" spans="2:37" x14ac:dyDescent="0.25">
      <c r="B1178" s="1"/>
      <c r="E1178" s="2"/>
      <c r="H1178" s="3"/>
      <c r="I1178" s="3"/>
      <c r="K1178" s="3"/>
      <c r="L1178" s="3"/>
      <c r="X1178" s="4"/>
      <c r="AB1178" s="3"/>
      <c r="AD1178" s="3"/>
      <c r="AE1178" s="3"/>
      <c r="AK1178" s="5"/>
    </row>
    <row r="1179" spans="2:37" x14ac:dyDescent="0.25">
      <c r="B1179" s="1"/>
      <c r="E1179" s="2"/>
      <c r="H1179" s="3"/>
      <c r="I1179" s="3"/>
      <c r="K1179" s="3"/>
      <c r="X1179" s="4"/>
    </row>
    <row r="1180" spans="2:37" x14ac:dyDescent="0.25">
      <c r="B1180" s="1"/>
      <c r="E1180" s="2"/>
      <c r="H1180" s="3"/>
      <c r="I1180" s="3"/>
      <c r="K1180" s="3"/>
      <c r="X1180" s="4"/>
    </row>
    <row r="1181" spans="2:37" x14ac:dyDescent="0.25">
      <c r="B1181" s="1"/>
      <c r="E1181" s="2"/>
      <c r="G1181" s="3"/>
      <c r="H1181" s="3"/>
      <c r="I1181" s="3"/>
      <c r="K1181" s="3"/>
      <c r="X1181" s="4"/>
    </row>
    <row r="1182" spans="2:37" x14ac:dyDescent="0.25">
      <c r="B1182" s="1"/>
      <c r="E1182" s="2"/>
      <c r="H1182" s="3"/>
      <c r="I1182" s="3"/>
      <c r="K1182" s="3"/>
      <c r="X1182" s="4"/>
    </row>
    <row r="1183" spans="2:37" x14ac:dyDescent="0.25">
      <c r="B1183" s="1"/>
      <c r="E1183" s="2"/>
      <c r="G1183" s="3"/>
      <c r="H1183" s="3"/>
      <c r="I1183" s="3"/>
      <c r="K1183" s="3"/>
      <c r="L1183" s="3"/>
      <c r="X1183" s="4"/>
      <c r="AD1183" s="3"/>
      <c r="AE1183" s="3"/>
      <c r="AK1183" s="5"/>
    </row>
    <row r="1184" spans="2:37" x14ac:dyDescent="0.25">
      <c r="B1184" s="1"/>
      <c r="E1184" s="2"/>
      <c r="H1184" s="3"/>
      <c r="I1184" s="3"/>
      <c r="K1184" s="3"/>
      <c r="L1184" s="3"/>
      <c r="X1184" s="4"/>
      <c r="Z1184" s="3"/>
      <c r="AD1184" s="3"/>
      <c r="AE1184" s="3"/>
      <c r="AK1184" s="5"/>
    </row>
    <row r="1185" spans="2:37" x14ac:dyDescent="0.25">
      <c r="B1185" s="1"/>
      <c r="E1185" s="2"/>
      <c r="H1185" s="3"/>
      <c r="I1185" s="3"/>
      <c r="K1185" s="3"/>
      <c r="L1185" s="3"/>
      <c r="X1185" s="4"/>
    </row>
    <row r="1186" spans="2:37" x14ac:dyDescent="0.25">
      <c r="B1186" s="3"/>
      <c r="E1186" s="2"/>
      <c r="G1186" s="3"/>
      <c r="K1186" s="3"/>
      <c r="X1186" s="4"/>
    </row>
    <row r="1187" spans="2:37" x14ac:dyDescent="0.25">
      <c r="B1187" s="1"/>
      <c r="E1187" s="2"/>
      <c r="H1187" s="3"/>
      <c r="I1187" s="3"/>
      <c r="K1187" s="3"/>
      <c r="X1187" s="4"/>
      <c r="AE1187" s="3"/>
      <c r="AK1187" s="5"/>
    </row>
    <row r="1188" spans="2:37" x14ac:dyDescent="0.25">
      <c r="B1188" s="1"/>
      <c r="E1188" s="2"/>
      <c r="X1188" s="4"/>
      <c r="AK1188" s="5"/>
    </row>
    <row r="1189" spans="2:37" x14ac:dyDescent="0.25">
      <c r="B1189" s="1"/>
      <c r="E1189" s="2"/>
      <c r="H1189" s="3"/>
      <c r="I1189" s="3"/>
      <c r="K1189" s="3"/>
      <c r="L1189" s="3"/>
      <c r="X1189" s="4"/>
      <c r="AD1189" s="3"/>
      <c r="AE1189" s="3"/>
      <c r="AK1189" s="5"/>
    </row>
    <row r="1190" spans="2:37" x14ac:dyDescent="0.25">
      <c r="B1190" s="1"/>
      <c r="E1190" s="2"/>
      <c r="H1190" s="3"/>
      <c r="I1190" s="3"/>
      <c r="K1190" s="3"/>
      <c r="L1190" s="3"/>
      <c r="X1190" s="4"/>
      <c r="Z1190" s="3"/>
      <c r="AE1190" s="3"/>
      <c r="AK1190" s="5"/>
    </row>
    <row r="1191" spans="2:37" x14ac:dyDescent="0.25">
      <c r="B1191" s="1"/>
      <c r="E1191" s="2"/>
      <c r="H1191" s="3"/>
      <c r="I1191" s="3"/>
      <c r="K1191" s="3"/>
      <c r="L1191" s="3"/>
      <c r="X1191" s="4"/>
      <c r="AD1191" s="3"/>
      <c r="AE1191" s="3"/>
      <c r="AK1191" s="5"/>
    </row>
    <row r="1192" spans="2:37" x14ac:dyDescent="0.25">
      <c r="B1192" s="1"/>
      <c r="E1192" s="2"/>
      <c r="G1192" s="3"/>
      <c r="H1192" s="3"/>
      <c r="I1192" s="3"/>
      <c r="K1192" s="3"/>
      <c r="X1192" s="4"/>
      <c r="AK1192" s="5"/>
    </row>
    <row r="1193" spans="2:37" x14ac:dyDescent="0.25">
      <c r="B1193" s="1"/>
      <c r="E1193" s="2"/>
      <c r="H1193" s="3"/>
      <c r="I1193" s="3"/>
      <c r="K1193" s="3"/>
      <c r="L1193" s="3"/>
      <c r="X1193" s="4"/>
      <c r="AD1193" s="3"/>
      <c r="AE1193" s="3"/>
      <c r="AK1193" s="5"/>
    </row>
    <row r="1194" spans="2:37" x14ac:dyDescent="0.25">
      <c r="B1194" s="1"/>
      <c r="D1194" s="3"/>
      <c r="E1194" s="2"/>
      <c r="G1194" s="3"/>
      <c r="H1194" s="3"/>
      <c r="I1194" s="3"/>
      <c r="K1194" s="3"/>
      <c r="L1194" s="3"/>
      <c r="X1194" s="4"/>
      <c r="AE1194" s="3"/>
      <c r="AK1194" s="5"/>
    </row>
    <row r="1195" spans="2:37" x14ac:dyDescent="0.25">
      <c r="B1195" s="1"/>
      <c r="E1195" s="2"/>
      <c r="G1195" s="3"/>
      <c r="H1195" s="3"/>
      <c r="I1195" s="3"/>
      <c r="K1195" s="3"/>
      <c r="X1195" s="4"/>
      <c r="AE1195" s="3"/>
      <c r="AK1195" s="5"/>
    </row>
    <row r="1196" spans="2:37" x14ac:dyDescent="0.25">
      <c r="B1196" s="1"/>
      <c r="E1196" s="2"/>
      <c r="H1196" s="3"/>
      <c r="I1196" s="3"/>
      <c r="K1196" s="3"/>
      <c r="L1196" s="3"/>
      <c r="X1196" s="4"/>
      <c r="Z1196" s="3"/>
      <c r="AB1196" s="3"/>
      <c r="AE1196" s="3"/>
      <c r="AK1196" s="5"/>
    </row>
    <row r="1197" spans="2:37" x14ac:dyDescent="0.25">
      <c r="B1197" s="1"/>
      <c r="E1197" s="2"/>
      <c r="H1197" s="3"/>
      <c r="I1197" s="3"/>
      <c r="K1197" s="3"/>
      <c r="L1197" s="3"/>
      <c r="X1197" s="4"/>
      <c r="AK1197" s="5"/>
    </row>
    <row r="1198" spans="2:37" x14ac:dyDescent="0.25">
      <c r="B1198" s="1"/>
      <c r="E1198" s="2"/>
      <c r="G1198" s="3"/>
      <c r="H1198" s="3"/>
      <c r="I1198" s="3"/>
      <c r="K1198" s="3"/>
      <c r="X1198" s="4"/>
      <c r="AE1198" s="3"/>
      <c r="AK1198" s="5"/>
    </row>
    <row r="1199" spans="2:37" x14ac:dyDescent="0.25">
      <c r="B1199" s="1"/>
      <c r="E1199" s="2"/>
      <c r="H1199" s="3"/>
      <c r="I1199" s="3"/>
      <c r="K1199" s="3"/>
      <c r="L1199" s="3"/>
      <c r="X1199" s="4"/>
      <c r="Z1199" s="3"/>
      <c r="AE1199" s="3"/>
      <c r="AK1199" s="5"/>
    </row>
    <row r="1200" spans="2:37" x14ac:dyDescent="0.25">
      <c r="B1200" s="1"/>
      <c r="E1200" s="2"/>
      <c r="H1200" s="3"/>
      <c r="I1200" s="3"/>
      <c r="K1200" s="3"/>
      <c r="X1200" s="4"/>
      <c r="AE1200" s="3"/>
      <c r="AK1200" s="5"/>
    </row>
    <row r="1201" spans="2:37" x14ac:dyDescent="0.25">
      <c r="B1201" s="1"/>
      <c r="E1201" s="2"/>
      <c r="H1201" s="3"/>
      <c r="I1201" s="3"/>
      <c r="K1201" s="3"/>
      <c r="L1201" s="3"/>
      <c r="X1201" s="4"/>
      <c r="AE1201" s="3"/>
      <c r="AK1201" s="5"/>
    </row>
    <row r="1202" spans="2:37" x14ac:dyDescent="0.25">
      <c r="B1202" s="1"/>
      <c r="E1202" s="2"/>
      <c r="G1202" s="3"/>
      <c r="H1202" s="3"/>
      <c r="I1202" s="3"/>
      <c r="K1202" s="3"/>
      <c r="X1202" s="4"/>
      <c r="AE1202" s="3"/>
      <c r="AK1202" s="5"/>
    </row>
    <row r="1203" spans="2:37" x14ac:dyDescent="0.25">
      <c r="B1203" s="1"/>
      <c r="E1203" s="2"/>
      <c r="H1203" s="3"/>
      <c r="I1203" s="3"/>
      <c r="K1203" s="3"/>
      <c r="L1203" s="3"/>
      <c r="X1203" s="4"/>
      <c r="AK1203" s="5"/>
    </row>
    <row r="1204" spans="2:37" x14ac:dyDescent="0.25">
      <c r="B1204" s="1"/>
      <c r="E1204" s="2"/>
      <c r="F1204" s="3"/>
      <c r="G1204" s="3"/>
      <c r="H1204" s="3"/>
      <c r="I1204" s="3"/>
      <c r="K1204" s="3"/>
      <c r="X1204" s="4"/>
      <c r="AK1204" s="5"/>
    </row>
    <row r="1205" spans="2:37" x14ac:dyDescent="0.25">
      <c r="B1205" s="1"/>
      <c r="E1205" s="2"/>
      <c r="H1205" s="3"/>
      <c r="I1205" s="3"/>
      <c r="K1205" s="3"/>
      <c r="L1205" s="3"/>
      <c r="X1205" s="4"/>
      <c r="AK1205" s="5"/>
    </row>
    <row r="1206" spans="2:37" x14ac:dyDescent="0.25">
      <c r="B1206" s="1"/>
      <c r="E1206" s="2"/>
      <c r="F1206" s="3"/>
      <c r="G1206" s="3"/>
      <c r="H1206" s="3"/>
      <c r="I1206" s="3"/>
      <c r="K1206" s="3"/>
      <c r="X1206" s="4"/>
      <c r="AE1206" s="3"/>
      <c r="AK1206" s="5"/>
    </row>
    <row r="1207" spans="2:37" x14ac:dyDescent="0.25">
      <c r="B1207" s="1"/>
      <c r="E1207" s="2"/>
      <c r="H1207" s="3"/>
      <c r="I1207" s="3"/>
      <c r="K1207" s="3"/>
      <c r="L1207" s="3"/>
      <c r="X1207" s="4"/>
      <c r="AD1207" s="3"/>
      <c r="AE1207" s="3"/>
      <c r="AK1207" s="5"/>
    </row>
    <row r="1208" spans="2:37" x14ac:dyDescent="0.25">
      <c r="B1208" s="1"/>
      <c r="D1208" s="3"/>
      <c r="E1208" s="2"/>
      <c r="G1208" s="3"/>
      <c r="X1208" s="4"/>
      <c r="AK1208" s="5"/>
    </row>
    <row r="1209" spans="2:37" x14ac:dyDescent="0.25">
      <c r="B1209" s="1"/>
      <c r="E1209" s="2"/>
      <c r="H1209" s="3"/>
      <c r="I1209" s="3"/>
      <c r="K1209" s="3"/>
      <c r="L1209" s="3"/>
      <c r="X1209" s="4"/>
      <c r="AK1209" s="5"/>
    </row>
    <row r="1210" spans="2:37" x14ac:dyDescent="0.25">
      <c r="B1210" s="1"/>
      <c r="E1210" s="2"/>
      <c r="G1210" s="3"/>
      <c r="X1210" s="4"/>
      <c r="AK1210" s="5"/>
    </row>
    <row r="1211" spans="2:37" x14ac:dyDescent="0.25">
      <c r="B1211" s="1"/>
      <c r="E1211" s="2"/>
      <c r="H1211" s="3"/>
      <c r="I1211" s="3"/>
      <c r="K1211" s="3"/>
      <c r="L1211" s="3"/>
      <c r="X1211" s="4"/>
      <c r="AB1211" s="3"/>
      <c r="AE1211" s="3"/>
      <c r="AK1211" s="5"/>
    </row>
    <row r="1212" spans="2:37" x14ac:dyDescent="0.25">
      <c r="B1212" s="1"/>
      <c r="E1212" s="2"/>
      <c r="H1212" s="3"/>
      <c r="I1212" s="3"/>
      <c r="K1212" s="3"/>
      <c r="L1212" s="3"/>
      <c r="X1212" s="4"/>
      <c r="AK1212" s="5"/>
    </row>
    <row r="1213" spans="2:37" x14ac:dyDescent="0.25">
      <c r="B1213" s="1"/>
      <c r="D1213" s="3"/>
      <c r="E1213" s="2"/>
      <c r="G1213" s="3"/>
      <c r="X1213" s="4"/>
      <c r="AK1213" s="5"/>
    </row>
    <row r="1214" spans="2:37" x14ac:dyDescent="0.25">
      <c r="B1214" s="1"/>
      <c r="E1214" s="2"/>
      <c r="H1214" s="3"/>
      <c r="I1214" s="3"/>
      <c r="K1214" s="3"/>
      <c r="L1214" s="3"/>
      <c r="X1214" s="4"/>
      <c r="Z1214" s="3"/>
      <c r="AK1214" s="5"/>
    </row>
    <row r="1215" spans="2:37" x14ac:dyDescent="0.25">
      <c r="B1215" s="1"/>
      <c r="E1215" s="2"/>
      <c r="H1215" s="3"/>
      <c r="I1215" s="3"/>
      <c r="K1215" s="3"/>
      <c r="L1215" s="3"/>
      <c r="X1215" s="4"/>
      <c r="AK1215" s="5"/>
    </row>
    <row r="1216" spans="2:37" x14ac:dyDescent="0.25">
      <c r="B1216" s="1"/>
      <c r="E1216" s="2"/>
      <c r="F1216" s="3"/>
      <c r="G1216" s="3"/>
      <c r="H1216" s="3"/>
      <c r="I1216" s="3"/>
      <c r="K1216" s="3"/>
      <c r="X1216" s="4"/>
      <c r="AE1216" s="3"/>
      <c r="AK1216" s="5"/>
    </row>
    <row r="1217" spans="2:37" x14ac:dyDescent="0.25">
      <c r="B1217" s="1"/>
      <c r="E1217" s="2"/>
      <c r="H1217" s="3"/>
      <c r="I1217" s="3"/>
      <c r="K1217" s="3"/>
      <c r="L1217" s="3"/>
      <c r="X1217" s="4"/>
      <c r="AK1217" s="5"/>
    </row>
    <row r="1218" spans="2:37" x14ac:dyDescent="0.25">
      <c r="B1218" s="1"/>
      <c r="E1218" s="2"/>
      <c r="G1218" s="3"/>
      <c r="H1218" s="3"/>
      <c r="I1218" s="3"/>
      <c r="K1218" s="3"/>
      <c r="X1218" s="4"/>
      <c r="AK1218" s="5"/>
    </row>
    <row r="1219" spans="2:37" x14ac:dyDescent="0.25">
      <c r="B1219" s="1"/>
      <c r="E1219" s="2"/>
      <c r="H1219" s="3"/>
      <c r="I1219" s="3"/>
      <c r="K1219" s="3"/>
      <c r="L1219" s="3"/>
      <c r="X1219" s="4"/>
      <c r="AB1219" s="3"/>
      <c r="AK1219" s="5"/>
    </row>
    <row r="1220" spans="2:37" x14ac:dyDescent="0.25">
      <c r="B1220" s="3"/>
      <c r="E1220" s="2"/>
      <c r="G1220" s="3"/>
      <c r="H1220" s="3"/>
      <c r="I1220" s="3"/>
      <c r="K1220" s="3"/>
      <c r="L1220" s="3"/>
      <c r="X1220" s="4"/>
      <c r="AB1220" s="3"/>
      <c r="AK1220" s="5"/>
    </row>
    <row r="1221" spans="2:37" x14ac:dyDescent="0.25">
      <c r="B1221" s="1"/>
      <c r="E1221" s="2"/>
      <c r="H1221" s="3"/>
      <c r="I1221" s="3"/>
      <c r="K1221" s="3"/>
      <c r="L1221" s="3"/>
      <c r="X1221" s="4"/>
      <c r="AB1221" s="3"/>
      <c r="AK1221" s="5"/>
    </row>
    <row r="1222" spans="2:37" x14ac:dyDescent="0.25">
      <c r="B1222" s="1"/>
      <c r="E1222" s="2"/>
      <c r="H1222" s="3"/>
      <c r="I1222" s="3"/>
      <c r="K1222" s="3"/>
      <c r="L1222" s="3"/>
      <c r="X1222" s="4"/>
      <c r="AB1222" s="3"/>
      <c r="AK1222" s="5"/>
    </row>
    <row r="1223" spans="2:37" x14ac:dyDescent="0.25">
      <c r="B1223" s="1"/>
      <c r="E1223" s="2"/>
      <c r="H1223" s="3"/>
      <c r="I1223" s="3"/>
      <c r="K1223" s="3"/>
      <c r="L1223" s="3"/>
      <c r="X1223" s="4"/>
      <c r="AK1223" s="5"/>
    </row>
    <row r="1224" spans="2:37" x14ac:dyDescent="0.25">
      <c r="B1224" s="1"/>
      <c r="E1224" s="2"/>
      <c r="G1224" s="3"/>
      <c r="H1224" s="3"/>
      <c r="I1224" s="3"/>
      <c r="K1224" s="3"/>
      <c r="X1224" s="4"/>
      <c r="AE1224" s="3"/>
      <c r="AK1224" s="5"/>
    </row>
    <row r="1225" spans="2:37" x14ac:dyDescent="0.25">
      <c r="B1225" s="1"/>
      <c r="E1225" s="2"/>
      <c r="H1225" s="3"/>
      <c r="I1225" s="3"/>
      <c r="K1225" s="3"/>
      <c r="L1225" s="3"/>
      <c r="X1225" s="4"/>
      <c r="AB1225" s="3"/>
      <c r="AE1225" s="3"/>
      <c r="AK1225" s="5"/>
    </row>
    <row r="1226" spans="2:37" x14ac:dyDescent="0.25">
      <c r="B1226" s="1"/>
      <c r="E1226" s="2"/>
      <c r="H1226" s="3"/>
      <c r="I1226" s="3"/>
      <c r="K1226" s="3"/>
      <c r="L1226" s="3"/>
      <c r="X1226" s="4"/>
      <c r="AK1226" s="5"/>
    </row>
    <row r="1227" spans="2:37" x14ac:dyDescent="0.25">
      <c r="B1227" s="1"/>
      <c r="E1227" s="2"/>
      <c r="G1227" s="3"/>
      <c r="H1227" s="3"/>
      <c r="I1227" s="3"/>
      <c r="K1227" s="3"/>
      <c r="L1227" s="3"/>
      <c r="X1227" s="4"/>
      <c r="AD1227" s="3"/>
      <c r="AE1227" s="3"/>
      <c r="AK1227" s="5"/>
    </row>
    <row r="1228" spans="2:37" x14ac:dyDescent="0.25">
      <c r="B1228" s="1"/>
      <c r="E1228" s="2"/>
      <c r="H1228" s="3"/>
      <c r="I1228" s="3"/>
      <c r="K1228" s="3"/>
      <c r="L1228" s="3"/>
      <c r="X1228" s="4"/>
      <c r="AD1228" s="3"/>
      <c r="AE1228" s="3"/>
      <c r="AK1228" s="5"/>
    </row>
    <row r="1229" spans="2:37" x14ac:dyDescent="0.25">
      <c r="B1229" s="1"/>
      <c r="E1229" s="2"/>
      <c r="G1229" s="3"/>
      <c r="H1229" s="3"/>
      <c r="I1229" s="3"/>
      <c r="K1229" s="3"/>
      <c r="X1229" s="4"/>
      <c r="AK1229" s="5"/>
    </row>
    <row r="1230" spans="2:37" x14ac:dyDescent="0.25">
      <c r="B1230" s="1"/>
      <c r="E1230" s="2"/>
      <c r="H1230" s="3"/>
      <c r="I1230" s="3"/>
      <c r="K1230" s="3"/>
      <c r="L1230" s="3"/>
      <c r="X1230" s="4"/>
      <c r="Z1230" s="3"/>
      <c r="AE1230" s="3"/>
      <c r="AK1230" s="5"/>
    </row>
    <row r="1231" spans="2:37" x14ac:dyDescent="0.25">
      <c r="B1231" s="1"/>
      <c r="E1231" s="2"/>
      <c r="H1231" s="3"/>
      <c r="I1231" s="3"/>
      <c r="K1231" s="3"/>
      <c r="L1231" s="3"/>
      <c r="X1231" s="4"/>
      <c r="Z1231" s="3"/>
      <c r="AE1231" s="3"/>
      <c r="AK1231" s="5"/>
    </row>
    <row r="1232" spans="2:37" x14ac:dyDescent="0.25">
      <c r="B1232" s="3"/>
      <c r="E1232" s="2"/>
      <c r="G1232" s="3"/>
      <c r="H1232" s="3"/>
      <c r="I1232" s="3"/>
      <c r="K1232" s="3"/>
      <c r="L1232" s="3"/>
      <c r="X1232" s="4"/>
      <c r="Z1232" s="3"/>
      <c r="AB1232" s="3"/>
      <c r="AE1232" s="3"/>
      <c r="AK1232" s="5"/>
    </row>
    <row r="1233" spans="2:37" x14ac:dyDescent="0.25">
      <c r="B1233" s="1"/>
      <c r="E1233" s="2"/>
      <c r="H1233" s="3"/>
      <c r="I1233" s="3"/>
      <c r="K1233" s="3"/>
      <c r="L1233" s="3"/>
      <c r="X1233" s="4"/>
      <c r="Z1233" s="3"/>
      <c r="AB1233" s="3"/>
      <c r="AE1233" s="3"/>
      <c r="AK1233" s="5"/>
    </row>
    <row r="1234" spans="2:37" x14ac:dyDescent="0.25">
      <c r="B1234" s="1"/>
      <c r="E1234" s="2"/>
      <c r="H1234" s="3"/>
      <c r="I1234" s="3"/>
      <c r="K1234" s="3"/>
      <c r="L1234" s="3"/>
      <c r="X1234" s="4"/>
      <c r="AD1234" s="3"/>
      <c r="AE1234" s="3"/>
      <c r="AK1234" s="5"/>
    </row>
    <row r="1235" spans="2:37" x14ac:dyDescent="0.25">
      <c r="B1235" s="1"/>
      <c r="E1235" s="2"/>
      <c r="H1235" s="3"/>
      <c r="I1235" s="3"/>
      <c r="K1235" s="3"/>
      <c r="L1235" s="3"/>
      <c r="X1235" s="4"/>
      <c r="AE1235" s="3"/>
      <c r="AK1235" s="5"/>
    </row>
    <row r="1236" spans="2:37" x14ac:dyDescent="0.25">
      <c r="B1236" s="1"/>
      <c r="E1236" s="2"/>
      <c r="G1236" s="3"/>
      <c r="H1236" s="3"/>
      <c r="I1236" s="3"/>
      <c r="K1236" s="3"/>
      <c r="X1236" s="4"/>
      <c r="AK1236" s="5"/>
    </row>
    <row r="1237" spans="2:37" x14ac:dyDescent="0.25">
      <c r="B1237" s="1"/>
      <c r="E1237" s="2"/>
      <c r="H1237" s="3"/>
      <c r="I1237" s="3"/>
      <c r="K1237" s="3"/>
      <c r="L1237" s="3"/>
      <c r="X1237" s="4"/>
      <c r="Z1237" s="3"/>
      <c r="AE1237" s="3"/>
      <c r="AK1237" s="5"/>
    </row>
    <row r="1238" spans="2:37" x14ac:dyDescent="0.25">
      <c r="B1238" s="1"/>
      <c r="E1238" s="2"/>
      <c r="H1238" s="3"/>
      <c r="I1238" s="3"/>
      <c r="K1238" s="3"/>
      <c r="X1238" s="4"/>
      <c r="AK1238" s="5"/>
    </row>
    <row r="1239" spans="2:37" x14ac:dyDescent="0.25">
      <c r="B1239" s="1"/>
      <c r="E1239" s="2"/>
      <c r="G1239" s="3"/>
      <c r="H1239" s="3"/>
      <c r="I1239" s="3"/>
      <c r="K1239" s="3"/>
      <c r="L1239" s="3"/>
      <c r="X1239" s="4"/>
      <c r="AB1239" s="3"/>
      <c r="AK1239" s="5"/>
    </row>
    <row r="1240" spans="2:37" x14ac:dyDescent="0.25">
      <c r="B1240" s="1"/>
      <c r="E1240" s="2"/>
      <c r="H1240" s="3"/>
      <c r="I1240" s="3"/>
      <c r="K1240" s="3"/>
      <c r="L1240" s="3"/>
      <c r="X1240" s="4"/>
      <c r="AD1240" s="3"/>
      <c r="AE1240" s="3"/>
      <c r="AK1240" s="5"/>
    </row>
    <row r="1241" spans="2:37" x14ac:dyDescent="0.25">
      <c r="B1241" s="1"/>
      <c r="E1241" s="2"/>
      <c r="H1241" s="3"/>
      <c r="I1241" s="3"/>
      <c r="K1241" s="3"/>
      <c r="L1241" s="3"/>
      <c r="X1241" s="4"/>
      <c r="Z1241" s="3"/>
      <c r="AE1241" s="3"/>
      <c r="AK1241" s="5"/>
    </row>
    <row r="1242" spans="2:37" x14ac:dyDescent="0.25">
      <c r="B1242" s="1"/>
      <c r="E1242" s="2"/>
      <c r="H1242" s="3"/>
      <c r="I1242" s="3"/>
      <c r="K1242" s="3"/>
      <c r="L1242" s="3"/>
      <c r="X1242" s="4"/>
      <c r="AB1242" s="3"/>
      <c r="AE1242" s="3"/>
      <c r="AK1242" s="5"/>
    </row>
    <row r="1243" spans="2:37" x14ac:dyDescent="0.25">
      <c r="B1243" s="1"/>
      <c r="E1243" s="2"/>
      <c r="F1243" s="3"/>
      <c r="H1243" s="3"/>
      <c r="I1243" s="3"/>
      <c r="K1243" s="3"/>
      <c r="L1243" s="3"/>
      <c r="X1243" s="4"/>
      <c r="AB1243" s="3"/>
      <c r="AE1243" s="3"/>
      <c r="AK1243" s="5"/>
    </row>
    <row r="1244" spans="2:37" x14ac:dyDescent="0.25">
      <c r="B1244" s="1"/>
      <c r="E1244" s="2"/>
      <c r="H1244" s="3"/>
      <c r="I1244" s="3"/>
      <c r="K1244" s="3"/>
      <c r="L1244" s="3"/>
      <c r="X1244" s="4"/>
      <c r="AD1244" s="3"/>
      <c r="AE1244" s="3"/>
      <c r="AK1244" s="5"/>
    </row>
    <row r="1245" spans="2:37" x14ac:dyDescent="0.25">
      <c r="B1245" s="3"/>
      <c r="E1245" s="2"/>
      <c r="G1245" s="3"/>
      <c r="H1245" s="3"/>
      <c r="I1245" s="3"/>
      <c r="K1245" s="3"/>
      <c r="X1245" s="4"/>
      <c r="AK1245" s="5"/>
    </row>
    <row r="1246" spans="2:37" x14ac:dyDescent="0.25">
      <c r="B1246" s="1"/>
      <c r="E1246" s="2"/>
      <c r="H1246" s="3"/>
      <c r="I1246" s="3"/>
      <c r="K1246" s="3"/>
      <c r="L1246" s="3"/>
      <c r="X1246" s="4"/>
      <c r="AK1246" s="5"/>
    </row>
    <row r="1247" spans="2:37" x14ac:dyDescent="0.25">
      <c r="B1247" s="1"/>
      <c r="E1247" s="2"/>
      <c r="F1247" s="3"/>
      <c r="G1247" s="3"/>
      <c r="H1247" s="3"/>
      <c r="I1247" s="3"/>
      <c r="K1247" s="3"/>
      <c r="L1247" s="3"/>
      <c r="X1247" s="4"/>
      <c r="AB1247" s="3"/>
      <c r="AE1247" s="3"/>
      <c r="AK1247" s="5"/>
    </row>
    <row r="1248" spans="2:37" x14ac:dyDescent="0.25">
      <c r="B1248" s="1"/>
      <c r="E1248" s="2"/>
      <c r="H1248" s="3"/>
      <c r="I1248" s="3"/>
      <c r="K1248" s="3"/>
      <c r="L1248" s="3"/>
      <c r="X1248" s="4"/>
      <c r="Z1248" s="3"/>
      <c r="AB1248" s="3"/>
      <c r="AE1248" s="3"/>
      <c r="AK1248" s="5"/>
    </row>
    <row r="1249" spans="2:37" x14ac:dyDescent="0.25">
      <c r="B1249" s="1"/>
      <c r="E1249" s="2"/>
      <c r="F1249" s="3"/>
      <c r="G1249" s="3"/>
      <c r="H1249" s="3"/>
      <c r="I1249" s="3"/>
      <c r="K1249" s="3"/>
      <c r="L1249" s="3"/>
      <c r="X1249" s="4"/>
      <c r="AE1249" s="3"/>
      <c r="AK1249" s="5"/>
    </row>
    <row r="1250" spans="2:37" x14ac:dyDescent="0.25">
      <c r="B1250" s="1"/>
      <c r="E1250" s="2"/>
      <c r="H1250" s="3"/>
      <c r="I1250" s="3"/>
      <c r="K1250" s="3"/>
      <c r="L1250" s="3"/>
      <c r="X1250" s="4"/>
      <c r="AK1250" s="5"/>
    </row>
    <row r="1251" spans="2:37" x14ac:dyDescent="0.25">
      <c r="B1251" s="3"/>
      <c r="E1251" s="2"/>
      <c r="G1251" s="3"/>
      <c r="H1251" s="3"/>
      <c r="I1251" s="3"/>
      <c r="K1251" s="3"/>
      <c r="L1251" s="3"/>
      <c r="X1251" s="4"/>
      <c r="AK1251" s="5"/>
    </row>
    <row r="1252" spans="2:37" x14ac:dyDescent="0.25">
      <c r="B1252" s="1"/>
      <c r="D1252" s="3"/>
      <c r="E1252" s="2"/>
      <c r="G1252" s="3"/>
      <c r="H1252" s="3"/>
      <c r="I1252" s="3"/>
      <c r="K1252" s="3"/>
      <c r="L1252" s="3"/>
      <c r="X1252" s="4"/>
      <c r="AK1252" s="5"/>
    </row>
    <row r="1253" spans="2:37" x14ac:dyDescent="0.25">
      <c r="B1253" s="1"/>
      <c r="E1253" s="2"/>
      <c r="F1253" s="3"/>
      <c r="G1253" s="3"/>
      <c r="H1253" s="3"/>
      <c r="I1253" s="3"/>
      <c r="K1253" s="3"/>
      <c r="L1253" s="3"/>
      <c r="X1253" s="4"/>
      <c r="AK1253" s="5"/>
    </row>
    <row r="1254" spans="2:37" x14ac:dyDescent="0.25">
      <c r="B1254" s="1"/>
      <c r="D1254" s="3"/>
      <c r="E1254" s="2"/>
      <c r="G1254" s="3"/>
      <c r="H1254" s="3"/>
      <c r="I1254" s="3"/>
      <c r="K1254" s="3"/>
      <c r="X1254" s="4"/>
      <c r="AK1254" s="5"/>
    </row>
    <row r="1255" spans="2:37" x14ac:dyDescent="0.25">
      <c r="B1255" s="1"/>
      <c r="E1255" s="2"/>
      <c r="H1255" s="3"/>
      <c r="I1255" s="3"/>
      <c r="K1255" s="3"/>
      <c r="L1255" s="3"/>
      <c r="X1255" s="4"/>
      <c r="AK1255" s="5"/>
    </row>
    <row r="1256" spans="2:37" x14ac:dyDescent="0.25">
      <c r="B1256" s="3"/>
      <c r="E1256" s="2"/>
      <c r="G1256" s="3"/>
      <c r="H1256" s="3"/>
      <c r="I1256" s="3"/>
      <c r="K1256" s="3"/>
      <c r="L1256" s="3"/>
      <c r="X1256" s="4"/>
      <c r="AE1256" s="3"/>
      <c r="AK1256" s="5"/>
    </row>
    <row r="1257" spans="2:37" x14ac:dyDescent="0.25">
      <c r="B1257" s="1"/>
      <c r="E1257" s="2"/>
      <c r="H1257" s="3"/>
      <c r="I1257" s="3"/>
      <c r="K1257" s="3"/>
      <c r="L1257" s="3"/>
      <c r="X1257" s="4"/>
      <c r="AK1257" s="5"/>
    </row>
    <row r="1258" spans="2:37" x14ac:dyDescent="0.25">
      <c r="B1258" s="1"/>
      <c r="D1258" s="3"/>
      <c r="E1258" s="2"/>
      <c r="G1258" s="3"/>
      <c r="H1258" s="3"/>
      <c r="I1258" s="3"/>
      <c r="K1258" s="3"/>
      <c r="X1258" s="4"/>
      <c r="AK1258" s="5"/>
    </row>
    <row r="1259" spans="2:37" x14ac:dyDescent="0.25">
      <c r="B1259" s="1"/>
      <c r="E1259" s="2"/>
      <c r="H1259" s="3"/>
      <c r="I1259" s="3"/>
      <c r="K1259" s="3"/>
      <c r="L1259" s="3"/>
      <c r="X1259" s="4"/>
      <c r="AE1259" s="3"/>
      <c r="AK1259" s="5"/>
    </row>
    <row r="1260" spans="2:37" x14ac:dyDescent="0.25">
      <c r="B1260" s="1"/>
      <c r="E1260" s="2"/>
      <c r="G1260" s="3"/>
      <c r="H1260" s="3"/>
      <c r="I1260" s="3"/>
      <c r="K1260" s="3"/>
      <c r="L1260" s="3"/>
      <c r="X1260" s="4"/>
      <c r="AD1260" s="3"/>
      <c r="AE1260" s="3"/>
      <c r="AK1260" s="5"/>
    </row>
    <row r="1261" spans="2:37" x14ac:dyDescent="0.25">
      <c r="B1261" s="1"/>
      <c r="E1261" s="2"/>
      <c r="H1261" s="3"/>
      <c r="I1261" s="3"/>
      <c r="K1261" s="3"/>
      <c r="L1261" s="3"/>
      <c r="X1261" s="4"/>
      <c r="Z1261" s="3"/>
      <c r="AB1261" s="3"/>
      <c r="AE1261" s="3"/>
      <c r="AK1261" s="5"/>
    </row>
    <row r="1262" spans="2:37" x14ac:dyDescent="0.25">
      <c r="B1262" s="1"/>
      <c r="E1262" s="2"/>
      <c r="H1262" s="3"/>
      <c r="I1262" s="3"/>
      <c r="K1262" s="3"/>
      <c r="L1262" s="3"/>
      <c r="X1262" s="4"/>
      <c r="Z1262" s="3"/>
      <c r="AE1262" s="3"/>
      <c r="AK1262" s="5"/>
    </row>
    <row r="1263" spans="2:37" x14ac:dyDescent="0.25">
      <c r="B1263" s="1"/>
      <c r="E1263" s="2"/>
      <c r="H1263" s="3"/>
      <c r="I1263" s="3"/>
      <c r="K1263" s="3"/>
      <c r="L1263" s="3"/>
      <c r="X1263" s="4"/>
      <c r="Z1263" s="3"/>
      <c r="AE1263" s="3"/>
      <c r="AK1263" s="5"/>
    </row>
    <row r="1264" spans="2:37" x14ac:dyDescent="0.25">
      <c r="B1264" s="1"/>
      <c r="E1264" s="2"/>
      <c r="H1264" s="3"/>
      <c r="I1264" s="3"/>
      <c r="K1264" s="3"/>
      <c r="X1264" s="4"/>
      <c r="AK1264" s="5"/>
    </row>
    <row r="1265" spans="2:37" x14ac:dyDescent="0.25">
      <c r="B1265" s="1"/>
      <c r="E1265" s="2"/>
      <c r="H1265" s="3"/>
      <c r="I1265" s="3"/>
      <c r="K1265" s="3"/>
      <c r="L1265" s="3"/>
      <c r="X1265" s="4"/>
      <c r="AE1265" s="3"/>
      <c r="AK1265" s="5"/>
    </row>
    <row r="1266" spans="2:37" x14ac:dyDescent="0.25">
      <c r="B1266" s="3"/>
      <c r="E1266" s="2"/>
      <c r="G1266" s="3"/>
      <c r="H1266" s="3"/>
      <c r="I1266" s="3"/>
      <c r="K1266" s="3"/>
      <c r="X1266" s="4"/>
      <c r="AK1266" s="5"/>
    </row>
    <row r="1267" spans="2:37" x14ac:dyDescent="0.25">
      <c r="B1267" s="1"/>
      <c r="E1267" s="2"/>
      <c r="H1267" s="3"/>
      <c r="I1267" s="3"/>
      <c r="K1267" s="3"/>
      <c r="L1267" s="3"/>
      <c r="X1267" s="4"/>
      <c r="AK1267" s="5"/>
    </row>
    <row r="1268" spans="2:37" x14ac:dyDescent="0.25">
      <c r="B1268" s="1"/>
      <c r="E1268" s="2"/>
      <c r="G1268" s="3"/>
      <c r="H1268" s="3"/>
      <c r="I1268" s="3"/>
      <c r="K1268" s="3"/>
      <c r="X1268" s="4"/>
      <c r="AK1268" s="5"/>
    </row>
    <row r="1269" spans="2:37" x14ac:dyDescent="0.25">
      <c r="B1269" s="1"/>
      <c r="E1269" s="2"/>
      <c r="H1269" s="3"/>
      <c r="I1269" s="3"/>
      <c r="K1269" s="3"/>
      <c r="L1269" s="3"/>
      <c r="X1269" s="4"/>
      <c r="AD1269" s="3"/>
      <c r="AE1269" s="3"/>
      <c r="AK1269" s="5"/>
    </row>
    <row r="1270" spans="2:37" x14ac:dyDescent="0.25">
      <c r="B1270" s="1"/>
      <c r="E1270" s="2"/>
      <c r="H1270" s="3"/>
      <c r="I1270" s="3"/>
      <c r="K1270" s="3"/>
      <c r="L1270" s="3"/>
      <c r="X1270" s="4"/>
      <c r="AB1270" s="3"/>
      <c r="AE1270" s="3"/>
      <c r="AK1270" s="5"/>
    </row>
    <row r="1271" spans="2:37" x14ac:dyDescent="0.25">
      <c r="B1271" s="1"/>
      <c r="D1271" s="3"/>
      <c r="E1271" s="2"/>
      <c r="G1271" s="3"/>
      <c r="H1271" s="3"/>
      <c r="I1271" s="3"/>
      <c r="K1271" s="3"/>
      <c r="L1271" s="3"/>
      <c r="X1271" s="4"/>
      <c r="Z1271" s="3"/>
      <c r="AE1271" s="3"/>
      <c r="AK1271" s="5"/>
    </row>
    <row r="1272" spans="2:37" x14ac:dyDescent="0.25">
      <c r="B1272" s="1"/>
      <c r="E1272" s="2"/>
      <c r="G1272" s="3"/>
      <c r="H1272" s="3"/>
      <c r="I1272" s="3"/>
      <c r="K1272" s="3"/>
      <c r="L1272" s="3"/>
      <c r="X1272" s="4"/>
      <c r="Z1272" s="3"/>
      <c r="AE1272" s="3"/>
      <c r="AK1272" s="5"/>
    </row>
    <row r="1273" spans="2:37" x14ac:dyDescent="0.25">
      <c r="B1273" s="1"/>
      <c r="E1273" s="2"/>
      <c r="H1273" s="3"/>
      <c r="I1273" s="3"/>
      <c r="K1273" s="3"/>
      <c r="L1273" s="3"/>
      <c r="X1273" s="4"/>
      <c r="Z1273" s="3"/>
      <c r="AE1273" s="3"/>
      <c r="AK1273" s="5"/>
    </row>
    <row r="1274" spans="2:37" x14ac:dyDescent="0.25">
      <c r="B1274" s="1"/>
      <c r="E1274" s="2"/>
      <c r="G1274" s="3"/>
      <c r="H1274" s="3"/>
      <c r="I1274" s="3"/>
      <c r="K1274" s="3"/>
      <c r="L1274" s="3"/>
      <c r="X1274" s="4"/>
      <c r="AE1274" s="3"/>
      <c r="AK1274" s="5"/>
    </row>
    <row r="1275" spans="2:37" x14ac:dyDescent="0.25">
      <c r="B1275" s="1"/>
      <c r="D1275" s="3"/>
      <c r="E1275" s="2"/>
      <c r="H1275" s="3"/>
      <c r="I1275" s="3"/>
      <c r="K1275" s="3"/>
      <c r="L1275" s="3"/>
      <c r="X1275" s="4"/>
      <c r="Z1275" s="3"/>
      <c r="AE1275" s="3"/>
      <c r="AK1275" s="5"/>
    </row>
    <row r="1276" spans="2:37" x14ac:dyDescent="0.25">
      <c r="B1276" s="1"/>
      <c r="E1276" s="2"/>
      <c r="H1276" s="3"/>
      <c r="I1276" s="3"/>
      <c r="K1276" s="3"/>
      <c r="L1276" s="3"/>
      <c r="X1276" s="4"/>
      <c r="AK1276" s="5"/>
    </row>
    <row r="1277" spans="2:37" x14ac:dyDescent="0.25">
      <c r="B1277" s="1"/>
      <c r="E1277" s="2"/>
      <c r="F1277" s="3"/>
      <c r="G1277" s="3"/>
      <c r="X1277" s="4"/>
      <c r="AK1277" s="5"/>
    </row>
    <row r="1278" spans="2:37" x14ac:dyDescent="0.25">
      <c r="B1278" s="1"/>
      <c r="E1278" s="2"/>
      <c r="H1278" s="3"/>
      <c r="I1278" s="3"/>
      <c r="K1278" s="3"/>
      <c r="L1278" s="3"/>
      <c r="X1278" s="4"/>
      <c r="Z1278" s="3"/>
      <c r="AE1278" s="3"/>
      <c r="AK1278" s="5"/>
    </row>
    <row r="1279" spans="2:37" x14ac:dyDescent="0.25">
      <c r="B1279" s="1"/>
      <c r="E1279" s="2"/>
      <c r="H1279" s="3"/>
      <c r="I1279" s="3"/>
      <c r="K1279" s="3"/>
      <c r="L1279" s="3"/>
      <c r="X1279" s="4"/>
      <c r="AK1279" s="5"/>
    </row>
    <row r="1280" spans="2:37" x14ac:dyDescent="0.25">
      <c r="B1280" s="3"/>
      <c r="E1280" s="2"/>
      <c r="G1280" s="3"/>
      <c r="H1280" s="3"/>
      <c r="I1280" s="3"/>
      <c r="K1280" s="3"/>
      <c r="L1280" s="3"/>
      <c r="X1280" s="4"/>
      <c r="Z1280" s="3"/>
      <c r="AE1280" s="3"/>
      <c r="AK1280" s="5"/>
    </row>
    <row r="1281" spans="2:37" x14ac:dyDescent="0.25">
      <c r="B1281" s="1"/>
      <c r="E1281" s="2"/>
      <c r="H1281" s="3"/>
      <c r="I1281" s="3"/>
      <c r="K1281" s="3"/>
      <c r="X1281" s="4"/>
      <c r="AE1281" s="3"/>
      <c r="AK1281" s="5"/>
    </row>
    <row r="1282" spans="2:37" x14ac:dyDescent="0.25">
      <c r="B1282" s="1"/>
      <c r="E1282" s="2"/>
      <c r="H1282" s="3"/>
      <c r="I1282" s="3"/>
      <c r="K1282" s="3"/>
      <c r="X1282" s="4"/>
      <c r="AE1282" s="3"/>
      <c r="AK1282" s="5"/>
    </row>
    <row r="1283" spans="2:37" x14ac:dyDescent="0.25">
      <c r="B1283" s="1"/>
      <c r="E1283" s="2"/>
      <c r="H1283" s="3"/>
      <c r="I1283" s="3"/>
      <c r="K1283" s="3"/>
      <c r="L1283" s="3"/>
      <c r="X1283" s="4"/>
      <c r="AE1283" s="3"/>
      <c r="AK1283" s="5"/>
    </row>
    <row r="1284" spans="2:37" x14ac:dyDescent="0.25">
      <c r="B1284" s="1"/>
      <c r="E1284" s="2"/>
      <c r="F1284" s="3"/>
      <c r="G1284" s="3"/>
      <c r="H1284" s="3"/>
      <c r="I1284" s="3"/>
      <c r="K1284" s="3"/>
      <c r="L1284" s="3"/>
      <c r="X1284" s="4"/>
      <c r="AB1284" s="3"/>
      <c r="AE1284" s="3"/>
      <c r="AK1284" s="5"/>
    </row>
    <row r="1285" spans="2:37" x14ac:dyDescent="0.25">
      <c r="B1285" s="1"/>
      <c r="E1285" s="2"/>
      <c r="H1285" s="3"/>
      <c r="I1285" s="3"/>
      <c r="K1285" s="3"/>
      <c r="X1285" s="4"/>
      <c r="AE1285" s="3"/>
      <c r="AK1285" s="5"/>
    </row>
    <row r="1286" spans="2:37" x14ac:dyDescent="0.25">
      <c r="B1286" s="1"/>
      <c r="E1286" s="2"/>
      <c r="G1286" s="3"/>
      <c r="H1286" s="3"/>
      <c r="I1286" s="3"/>
      <c r="K1286" s="3"/>
      <c r="L1286" s="3"/>
      <c r="X1286" s="4"/>
      <c r="AK1286" s="5"/>
    </row>
    <row r="1287" spans="2:37" x14ac:dyDescent="0.25">
      <c r="B1287" s="1"/>
      <c r="D1287" s="3"/>
      <c r="E1287" s="2"/>
      <c r="G1287" s="3"/>
      <c r="H1287" s="3"/>
      <c r="I1287" s="3"/>
      <c r="K1287" s="3"/>
      <c r="L1287" s="3"/>
      <c r="X1287" s="4"/>
      <c r="AK1287" s="5"/>
    </row>
    <row r="1288" spans="2:37" x14ac:dyDescent="0.25">
      <c r="B1288" s="1"/>
      <c r="D1288" s="3"/>
      <c r="E1288" s="2"/>
      <c r="G1288" s="3"/>
      <c r="H1288" s="3"/>
      <c r="I1288" s="3"/>
      <c r="K1288" s="3"/>
      <c r="X1288" s="4"/>
      <c r="AK1288" s="5"/>
    </row>
    <row r="1289" spans="2:37" x14ac:dyDescent="0.25">
      <c r="B1289" s="1"/>
      <c r="E1289" s="2"/>
      <c r="G1289" s="3"/>
      <c r="H1289" s="3"/>
      <c r="I1289" s="3"/>
      <c r="K1289" s="3"/>
      <c r="L1289" s="3"/>
      <c r="X1289" s="4"/>
      <c r="AB1289" s="3"/>
      <c r="AK1289" s="5"/>
    </row>
    <row r="1290" spans="2:37" x14ac:dyDescent="0.25">
      <c r="B1290" s="1"/>
      <c r="D1290" s="3"/>
      <c r="E1290" s="2"/>
      <c r="G1290" s="3"/>
      <c r="H1290" s="3"/>
      <c r="I1290" s="3"/>
      <c r="K1290" s="3"/>
      <c r="L1290" s="3"/>
      <c r="X1290" s="4"/>
      <c r="Z1290" s="3"/>
      <c r="AB1290" s="3"/>
      <c r="AE1290" s="3"/>
      <c r="AK1290" s="5"/>
    </row>
    <row r="1291" spans="2:37" x14ac:dyDescent="0.25">
      <c r="B1291" s="1"/>
      <c r="E1291" s="2"/>
      <c r="H1291" s="3"/>
      <c r="I1291" s="3"/>
      <c r="K1291" s="3"/>
      <c r="L1291" s="3"/>
      <c r="X1291" s="4"/>
      <c r="Z1291" s="3"/>
      <c r="AE1291" s="3"/>
      <c r="AK1291" s="5"/>
    </row>
    <row r="1292" spans="2:37" x14ac:dyDescent="0.25">
      <c r="B1292" s="1"/>
      <c r="E1292" s="2"/>
      <c r="H1292" s="3"/>
      <c r="I1292" s="3"/>
      <c r="K1292" s="3"/>
      <c r="X1292" s="4"/>
      <c r="AK1292" s="5"/>
    </row>
    <row r="1293" spans="2:37" x14ac:dyDescent="0.25">
      <c r="B1293" s="1"/>
      <c r="E1293" s="2"/>
      <c r="H1293" s="3"/>
      <c r="I1293" s="3"/>
      <c r="K1293" s="3"/>
      <c r="L1293" s="3"/>
      <c r="X1293" s="4"/>
    </row>
    <row r="1294" spans="2:37" x14ac:dyDescent="0.25">
      <c r="B1294" s="1"/>
      <c r="D1294" s="3"/>
      <c r="E1294" s="2"/>
      <c r="F1294" s="3"/>
      <c r="G1294" s="3"/>
      <c r="X1294" s="4"/>
    </row>
    <row r="1295" spans="2:37" x14ac:dyDescent="0.25">
      <c r="B1295" s="1"/>
      <c r="E1295" s="2"/>
      <c r="H1295" s="3"/>
      <c r="I1295" s="3"/>
      <c r="K1295" s="3"/>
      <c r="L1295" s="3"/>
      <c r="X1295" s="4"/>
      <c r="AK1295" s="5"/>
    </row>
    <row r="1296" spans="2:37" x14ac:dyDescent="0.25">
      <c r="B1296" s="3"/>
      <c r="E1296" s="2"/>
      <c r="G1296" s="3"/>
      <c r="H1296" s="3"/>
      <c r="I1296" s="3"/>
      <c r="K1296" s="3"/>
      <c r="L1296" s="3"/>
      <c r="X1296" s="4"/>
      <c r="AD1296" s="3"/>
      <c r="AE1296" s="3"/>
      <c r="AK1296" s="5"/>
    </row>
    <row r="1297" spans="2:37" x14ac:dyDescent="0.25">
      <c r="B1297" s="1"/>
      <c r="E1297" s="2"/>
      <c r="H1297" s="3"/>
      <c r="I1297" s="3"/>
      <c r="K1297" s="3"/>
      <c r="L1297" s="3"/>
      <c r="X1297" s="4"/>
      <c r="AD1297" s="3"/>
      <c r="AE1297" s="3"/>
      <c r="AK1297" s="5"/>
    </row>
    <row r="1298" spans="2:37" x14ac:dyDescent="0.25">
      <c r="B1298" s="3"/>
      <c r="E1298" s="2"/>
      <c r="G1298" s="3"/>
      <c r="H1298" s="3"/>
      <c r="I1298" s="3"/>
      <c r="K1298" s="3"/>
      <c r="L1298" s="3"/>
      <c r="X1298" s="4"/>
      <c r="AD1298" s="3"/>
      <c r="AE1298" s="3"/>
      <c r="AK1298" s="5"/>
    </row>
    <row r="1299" spans="2:37" x14ac:dyDescent="0.25">
      <c r="B1299" s="1"/>
      <c r="D1299" s="3"/>
      <c r="E1299" s="2"/>
      <c r="G1299" s="3"/>
      <c r="H1299" s="3"/>
      <c r="I1299" s="3"/>
      <c r="K1299" s="3"/>
      <c r="L1299" s="3"/>
      <c r="X1299" s="4"/>
      <c r="AB1299" s="3"/>
      <c r="AE1299" s="3"/>
      <c r="AK1299" s="5"/>
    </row>
    <row r="1300" spans="2:37" x14ac:dyDescent="0.25">
      <c r="B1300" s="1"/>
      <c r="D1300" s="3"/>
      <c r="E1300" s="2"/>
      <c r="G1300" s="3"/>
      <c r="H1300" s="3"/>
      <c r="I1300" s="3"/>
      <c r="K1300" s="3"/>
      <c r="L1300" s="3"/>
      <c r="X1300" s="4"/>
      <c r="Z1300" s="3"/>
      <c r="AB1300" s="3"/>
      <c r="AE1300" s="3"/>
      <c r="AK1300" s="5"/>
    </row>
    <row r="1301" spans="2:37" x14ac:dyDescent="0.25">
      <c r="B1301" s="1"/>
      <c r="E1301" s="2"/>
      <c r="H1301" s="3"/>
      <c r="I1301" s="3"/>
      <c r="K1301" s="3"/>
      <c r="L1301" s="3"/>
      <c r="X1301" s="4"/>
      <c r="Z1301" s="3"/>
      <c r="AB1301" s="3"/>
      <c r="AE1301" s="3"/>
      <c r="AK1301" s="5"/>
    </row>
    <row r="1302" spans="2:37" x14ac:dyDescent="0.25">
      <c r="B1302" s="1"/>
      <c r="E1302" s="2"/>
      <c r="G1302" s="3"/>
      <c r="H1302" s="3"/>
      <c r="I1302" s="3"/>
      <c r="K1302" s="3"/>
      <c r="L1302" s="3"/>
      <c r="X1302" s="4"/>
      <c r="AB1302" s="3"/>
      <c r="AK1302" s="5"/>
    </row>
    <row r="1303" spans="2:37" x14ac:dyDescent="0.25">
      <c r="B1303" s="1"/>
      <c r="E1303" s="2"/>
      <c r="H1303" s="3"/>
      <c r="I1303" s="3"/>
      <c r="K1303" s="3"/>
      <c r="L1303" s="3"/>
      <c r="X1303" s="4"/>
      <c r="AB1303" s="3"/>
      <c r="AE1303" s="3"/>
      <c r="AK1303" s="5"/>
    </row>
    <row r="1304" spans="2:37" x14ac:dyDescent="0.25">
      <c r="B1304" s="1"/>
      <c r="E1304" s="2"/>
      <c r="H1304" s="3"/>
      <c r="I1304" s="3"/>
      <c r="K1304" s="3"/>
      <c r="L1304" s="3"/>
      <c r="X1304" s="4"/>
      <c r="AB1304" s="3"/>
      <c r="AE1304" s="3"/>
      <c r="AK1304" s="5"/>
    </row>
    <row r="1305" spans="2:37" x14ac:dyDescent="0.25">
      <c r="B1305" s="1"/>
      <c r="E1305" s="2"/>
      <c r="H1305" s="3"/>
      <c r="I1305" s="3"/>
      <c r="K1305" s="3"/>
      <c r="L1305" s="3"/>
      <c r="X1305" s="4"/>
      <c r="AB1305" s="3"/>
      <c r="AE1305" s="3"/>
      <c r="AK1305" s="5"/>
    </row>
    <row r="1306" spans="2:37" x14ac:dyDescent="0.25">
      <c r="B1306" s="1"/>
      <c r="E1306" s="2"/>
      <c r="H1306" s="3"/>
      <c r="I1306" s="3"/>
      <c r="K1306" s="3"/>
      <c r="L1306" s="3"/>
      <c r="X1306" s="4"/>
      <c r="Z1306" s="3"/>
      <c r="AB1306" s="3"/>
      <c r="AE1306" s="3"/>
      <c r="AK1306" s="5"/>
    </row>
    <row r="1307" spans="2:37" x14ac:dyDescent="0.25">
      <c r="B1307" s="1"/>
      <c r="E1307" s="2"/>
      <c r="H1307" s="3"/>
      <c r="I1307" s="3"/>
      <c r="K1307" s="3"/>
      <c r="L1307" s="3"/>
      <c r="X1307" s="4"/>
      <c r="AB1307" s="3"/>
      <c r="AE1307" s="3"/>
      <c r="AK1307" s="5"/>
    </row>
    <row r="1308" spans="2:37" x14ac:dyDescent="0.25">
      <c r="B1308" s="1"/>
      <c r="E1308" s="2"/>
      <c r="H1308" s="3"/>
      <c r="I1308" s="3"/>
      <c r="K1308" s="3"/>
      <c r="L1308" s="3"/>
      <c r="X1308" s="4"/>
      <c r="AB1308" s="3"/>
      <c r="AE1308" s="3"/>
      <c r="AK1308" s="5"/>
    </row>
    <row r="1309" spans="2:37" x14ac:dyDescent="0.25">
      <c r="B1309" s="1"/>
      <c r="E1309" s="2"/>
      <c r="H1309" s="3"/>
      <c r="I1309" s="3"/>
      <c r="K1309" s="3"/>
      <c r="L1309" s="3"/>
      <c r="X1309" s="4"/>
      <c r="AA1309" s="3"/>
      <c r="AB1309" s="3"/>
      <c r="AE1309" s="3"/>
      <c r="AK1309" s="5"/>
    </row>
    <row r="1310" spans="2:37" x14ac:dyDescent="0.25">
      <c r="B1310" s="1"/>
      <c r="E1310" s="2"/>
      <c r="H1310" s="3"/>
      <c r="I1310" s="3"/>
      <c r="K1310" s="3"/>
      <c r="L1310" s="3"/>
      <c r="X1310" s="4"/>
      <c r="AB1310" s="3"/>
      <c r="AE1310" s="3"/>
      <c r="AK1310" s="5"/>
    </row>
    <row r="1311" spans="2:37" x14ac:dyDescent="0.25">
      <c r="B1311" s="3"/>
      <c r="E1311" s="2"/>
      <c r="G1311" s="3"/>
      <c r="H1311" s="3"/>
      <c r="I1311" s="3"/>
      <c r="K1311" s="3"/>
      <c r="L1311" s="3"/>
      <c r="X1311" s="4"/>
      <c r="AB1311" s="3"/>
      <c r="AE1311" s="3"/>
      <c r="AK1311" s="5"/>
    </row>
    <row r="1312" spans="2:37" x14ac:dyDescent="0.25">
      <c r="B1312" s="1"/>
      <c r="E1312" s="2"/>
      <c r="H1312" s="3"/>
      <c r="I1312" s="3"/>
      <c r="K1312" s="3"/>
      <c r="L1312" s="3"/>
      <c r="X1312" s="4"/>
      <c r="AB1312" s="3"/>
      <c r="AE1312" s="3"/>
      <c r="AK1312" s="5"/>
    </row>
    <row r="1313" spans="2:37" x14ac:dyDescent="0.25">
      <c r="B1313" s="3"/>
      <c r="E1313" s="2"/>
      <c r="G1313" s="3"/>
      <c r="H1313" s="3"/>
      <c r="I1313" s="3"/>
      <c r="K1313" s="3"/>
      <c r="L1313" s="3"/>
      <c r="X1313" s="4"/>
      <c r="AB1313" s="3"/>
      <c r="AE1313" s="3"/>
      <c r="AK1313" s="5"/>
    </row>
    <row r="1314" spans="2:37" x14ac:dyDescent="0.25">
      <c r="B1314" s="1"/>
      <c r="E1314" s="2"/>
      <c r="H1314" s="3"/>
      <c r="I1314" s="3"/>
      <c r="K1314" s="3"/>
      <c r="L1314" s="3"/>
      <c r="X1314" s="4"/>
      <c r="AB1314" s="3"/>
      <c r="AE1314" s="3"/>
      <c r="AK1314" s="5"/>
    </row>
    <row r="1315" spans="2:37" x14ac:dyDescent="0.25">
      <c r="B1315" s="3"/>
      <c r="E1315" s="2"/>
      <c r="G1315" s="3"/>
      <c r="H1315" s="3"/>
      <c r="I1315" s="3"/>
      <c r="K1315" s="3"/>
      <c r="L1315" s="3"/>
      <c r="X1315" s="4"/>
      <c r="AB1315" s="3"/>
      <c r="AE1315" s="3"/>
      <c r="AK1315" s="5"/>
    </row>
    <row r="1316" spans="2:37" x14ac:dyDescent="0.25">
      <c r="B1316" s="1"/>
      <c r="E1316" s="2"/>
      <c r="F1316" s="3"/>
      <c r="G1316" s="3"/>
      <c r="H1316" s="3"/>
      <c r="I1316" s="3"/>
      <c r="K1316" s="3"/>
      <c r="L1316" s="3"/>
      <c r="X1316" s="4"/>
      <c r="Z1316" s="3"/>
      <c r="AB1316" s="3"/>
      <c r="AE1316" s="3"/>
      <c r="AK1316" s="5"/>
    </row>
    <row r="1317" spans="2:37" x14ac:dyDescent="0.25">
      <c r="B1317" s="1"/>
      <c r="E1317" s="2"/>
      <c r="H1317" s="3"/>
      <c r="I1317" s="3"/>
      <c r="K1317" s="3"/>
      <c r="L1317" s="3"/>
      <c r="X1317" s="4"/>
      <c r="AB1317" s="3"/>
      <c r="AE1317" s="3"/>
      <c r="AK1317" s="5"/>
    </row>
    <row r="1318" spans="2:37" x14ac:dyDescent="0.25">
      <c r="B1318" s="1"/>
      <c r="E1318" s="2"/>
      <c r="H1318" s="3"/>
      <c r="I1318" s="3"/>
      <c r="K1318" s="3"/>
      <c r="X1318" s="4"/>
      <c r="AK1318" s="5"/>
    </row>
    <row r="1319" spans="2:37" x14ac:dyDescent="0.25">
      <c r="B1319" s="1"/>
      <c r="E1319" s="2"/>
      <c r="H1319" s="3"/>
      <c r="I1319" s="3"/>
      <c r="K1319" s="3"/>
      <c r="L1319" s="3"/>
      <c r="X1319" s="4"/>
      <c r="AB1319" s="3"/>
      <c r="AE1319" s="3"/>
      <c r="AK1319" s="5"/>
    </row>
    <row r="1320" spans="2:37" x14ac:dyDescent="0.25">
      <c r="B1320" s="1"/>
      <c r="E1320" s="2"/>
      <c r="G1320" s="3"/>
      <c r="H1320" s="3"/>
      <c r="I1320" s="3"/>
      <c r="K1320" s="3"/>
      <c r="L1320" s="3"/>
      <c r="X1320" s="4"/>
      <c r="AB1320" s="3"/>
      <c r="AE1320" s="3"/>
      <c r="AK1320" s="5"/>
    </row>
    <row r="1321" spans="2:37" x14ac:dyDescent="0.25">
      <c r="B1321" s="1"/>
      <c r="E1321" s="2"/>
      <c r="H1321" s="3"/>
      <c r="I1321" s="3"/>
      <c r="K1321" s="3"/>
      <c r="L1321" s="3"/>
      <c r="X1321" s="4"/>
      <c r="AB1321" s="3"/>
      <c r="AE1321" s="3"/>
      <c r="AK1321" s="5"/>
    </row>
    <row r="1322" spans="2:37" x14ac:dyDescent="0.25">
      <c r="B1322" s="1"/>
      <c r="D1322" s="3"/>
      <c r="E1322" s="2"/>
      <c r="F1322" s="3"/>
      <c r="G1322" s="3"/>
      <c r="H1322" s="3"/>
      <c r="I1322" s="3"/>
      <c r="K1322" s="3"/>
      <c r="L1322" s="3"/>
      <c r="X1322" s="4"/>
      <c r="AB1322" s="3"/>
      <c r="AK1322" s="5"/>
    </row>
    <row r="1323" spans="2:37" x14ac:dyDescent="0.25">
      <c r="B1323" s="1"/>
      <c r="E1323" s="2"/>
      <c r="H1323" s="3"/>
      <c r="I1323" s="3"/>
      <c r="K1323" s="3"/>
      <c r="L1323" s="3"/>
      <c r="X1323" s="4"/>
      <c r="Z1323" s="3"/>
      <c r="AE1323" s="3"/>
      <c r="AK1323" s="5"/>
    </row>
    <row r="1324" spans="2:37" x14ac:dyDescent="0.25">
      <c r="B1324" s="3"/>
      <c r="E1324" s="2"/>
      <c r="F1324" s="3"/>
      <c r="G1324" s="3"/>
      <c r="H1324" s="3"/>
      <c r="I1324" s="3"/>
      <c r="K1324" s="3"/>
      <c r="L1324" s="3"/>
      <c r="X1324" s="4"/>
      <c r="AA1324" s="3"/>
      <c r="AK1324" s="5"/>
    </row>
    <row r="1325" spans="2:37" x14ac:dyDescent="0.25">
      <c r="B1325" s="1"/>
      <c r="E1325" s="2"/>
      <c r="H1325" s="3"/>
      <c r="I1325" s="3"/>
      <c r="K1325" s="3"/>
      <c r="L1325" s="3"/>
      <c r="X1325" s="4"/>
      <c r="AD1325" s="3"/>
      <c r="AE1325" s="3"/>
      <c r="AK1325" s="5"/>
    </row>
    <row r="1326" spans="2:37" x14ac:dyDescent="0.25">
      <c r="B1326" s="1"/>
      <c r="E1326" s="2"/>
      <c r="F1326" s="3"/>
      <c r="G1326" s="3"/>
      <c r="H1326" s="3"/>
      <c r="I1326" s="3"/>
      <c r="K1326" s="3"/>
      <c r="X1326" s="4"/>
    </row>
    <row r="1327" spans="2:37" x14ac:dyDescent="0.25">
      <c r="B1327" s="1"/>
      <c r="E1327" s="2"/>
      <c r="H1327" s="3"/>
      <c r="I1327" s="3"/>
      <c r="K1327" s="3"/>
      <c r="L1327" s="3"/>
      <c r="X1327" s="4"/>
      <c r="Z1327" s="3"/>
      <c r="AE1327" s="3"/>
      <c r="AK1327" s="5"/>
    </row>
    <row r="1328" spans="2:37" x14ac:dyDescent="0.25">
      <c r="B1328" s="1"/>
      <c r="E1328" s="2"/>
      <c r="F1328" s="3"/>
      <c r="G1328" s="3"/>
      <c r="H1328" s="3"/>
      <c r="I1328" s="3"/>
      <c r="K1328" s="3"/>
      <c r="L1328" s="3"/>
      <c r="X1328" s="4"/>
      <c r="Z1328" s="3"/>
      <c r="AE1328" s="3"/>
      <c r="AK1328" s="5"/>
    </row>
    <row r="1329" spans="2:37" x14ac:dyDescent="0.25">
      <c r="B1329" s="1"/>
      <c r="E1329" s="2"/>
      <c r="G1329" s="3"/>
      <c r="H1329" s="3"/>
      <c r="I1329" s="3"/>
      <c r="K1329" s="3"/>
      <c r="L1329" s="3"/>
      <c r="X1329" s="4"/>
      <c r="AB1329" s="3"/>
      <c r="AK1329" s="5"/>
    </row>
    <row r="1330" spans="2:37" x14ac:dyDescent="0.25">
      <c r="B1330" s="1"/>
      <c r="E1330" s="2"/>
      <c r="F1330" s="3"/>
      <c r="G1330" s="3"/>
      <c r="H1330" s="3"/>
      <c r="I1330" s="3"/>
      <c r="K1330" s="3"/>
      <c r="L1330" s="3"/>
      <c r="X1330" s="4"/>
      <c r="AB1330" s="3"/>
      <c r="AE1330" s="3"/>
      <c r="AK1330" s="5"/>
    </row>
    <row r="1331" spans="2:37" x14ac:dyDescent="0.25">
      <c r="B1331" s="1"/>
      <c r="E1331" s="2"/>
      <c r="G1331" s="3"/>
      <c r="H1331" s="3"/>
      <c r="I1331" s="3"/>
      <c r="K1331" s="3"/>
      <c r="L1331" s="3"/>
      <c r="X1331" s="4"/>
      <c r="Z1331" s="3"/>
      <c r="AE1331" s="3"/>
      <c r="AK1331" s="5"/>
    </row>
    <row r="1332" spans="2:37" x14ac:dyDescent="0.25">
      <c r="B1332" s="1"/>
      <c r="E1332" s="2"/>
      <c r="F1332" s="3"/>
      <c r="G1332" s="3"/>
      <c r="H1332" s="3"/>
      <c r="I1332" s="3"/>
      <c r="K1332" s="3"/>
      <c r="X1332" s="4"/>
      <c r="AK1332" s="5"/>
    </row>
    <row r="1333" spans="2:37" x14ac:dyDescent="0.25">
      <c r="B1333" s="1"/>
      <c r="E1333" s="2"/>
      <c r="H1333" s="3"/>
      <c r="I1333" s="3"/>
      <c r="K1333" s="3"/>
      <c r="L1333" s="3"/>
      <c r="X1333" s="4"/>
      <c r="AD1333" s="3"/>
      <c r="AE1333" s="3"/>
      <c r="AK1333" s="5"/>
    </row>
    <row r="1334" spans="2:37" x14ac:dyDescent="0.25">
      <c r="B1334" s="1"/>
      <c r="E1334" s="2"/>
      <c r="F1334" s="3"/>
      <c r="G1334" s="3"/>
      <c r="H1334" s="3"/>
      <c r="I1334" s="3"/>
      <c r="K1334" s="3"/>
      <c r="L1334" s="3"/>
      <c r="X1334" s="4"/>
      <c r="AE1334" s="3"/>
      <c r="AK1334" s="5"/>
    </row>
    <row r="1335" spans="2:37" x14ac:dyDescent="0.25">
      <c r="B1335" s="3"/>
      <c r="E1335" s="2"/>
      <c r="G1335" s="3"/>
      <c r="H1335" s="3"/>
      <c r="I1335" s="3"/>
      <c r="K1335" s="3"/>
      <c r="L1335" s="3"/>
      <c r="X1335" s="4"/>
      <c r="AE1335" s="3"/>
      <c r="AK1335" s="5"/>
    </row>
    <row r="1336" spans="2:37" x14ac:dyDescent="0.25">
      <c r="B1336" s="1"/>
      <c r="E1336" s="2"/>
      <c r="H1336" s="3"/>
      <c r="I1336" s="3"/>
      <c r="K1336" s="3"/>
      <c r="L1336" s="3"/>
      <c r="X1336" s="4"/>
      <c r="AD1336" s="3"/>
      <c r="AE1336" s="3"/>
      <c r="AK1336" s="5"/>
    </row>
    <row r="1337" spans="2:37" x14ac:dyDescent="0.25">
      <c r="B1337" s="3"/>
      <c r="E1337" s="2"/>
      <c r="G1337" s="3"/>
      <c r="H1337" s="3"/>
      <c r="I1337" s="3"/>
      <c r="K1337" s="3"/>
      <c r="L1337" s="3"/>
      <c r="X1337" s="4"/>
    </row>
    <row r="1338" spans="2:37" x14ac:dyDescent="0.25">
      <c r="B1338" s="1"/>
      <c r="E1338" s="2"/>
      <c r="G1338" s="3"/>
      <c r="H1338" s="3"/>
      <c r="I1338" s="3"/>
      <c r="K1338" s="3"/>
      <c r="L1338" s="3"/>
    </row>
    <row r="1339" spans="2:37" x14ac:dyDescent="0.25">
      <c r="B1339" s="1"/>
      <c r="E1339" s="2"/>
      <c r="F1339" s="3"/>
      <c r="G1339" s="3"/>
      <c r="H1339" s="3"/>
      <c r="I1339" s="3"/>
      <c r="K1339" s="3"/>
      <c r="L1339" s="3"/>
      <c r="X1339" s="4"/>
    </row>
    <row r="1340" spans="2:37" x14ac:dyDescent="0.25">
      <c r="B1340" s="1"/>
      <c r="E1340" s="2"/>
      <c r="G1340" s="3"/>
      <c r="H1340" s="3"/>
      <c r="I1340" s="3"/>
      <c r="K1340" s="3"/>
      <c r="L1340" s="3"/>
      <c r="X1340" s="4"/>
      <c r="AD1340" s="3"/>
      <c r="AE1340" s="3"/>
      <c r="AK1340" s="5"/>
    </row>
    <row r="1341" spans="2:37" x14ac:dyDescent="0.25">
      <c r="B1341" s="1"/>
      <c r="E1341" s="2"/>
      <c r="H1341" s="3"/>
      <c r="I1341" s="3"/>
      <c r="K1341" s="3"/>
      <c r="L1341" s="3"/>
      <c r="X1341" s="4"/>
      <c r="AD1341" s="3"/>
      <c r="AE1341" s="3"/>
      <c r="AK1341" s="5"/>
    </row>
    <row r="1342" spans="2:37" x14ac:dyDescent="0.25">
      <c r="B1342" s="1"/>
      <c r="E1342" s="2"/>
      <c r="H1342" s="3"/>
      <c r="I1342" s="3"/>
      <c r="K1342" s="3"/>
      <c r="L1342" s="3"/>
      <c r="X1342" s="4"/>
      <c r="AE1342" s="3"/>
      <c r="AK1342" s="5"/>
    </row>
    <row r="1343" spans="2:37" x14ac:dyDescent="0.25">
      <c r="B1343" s="1"/>
      <c r="E1343" s="2"/>
      <c r="G1343" s="3"/>
      <c r="H1343" s="3"/>
      <c r="I1343" s="3"/>
      <c r="K1343" s="3"/>
      <c r="L1343" s="3"/>
      <c r="X1343" s="4"/>
      <c r="AD1343" s="3"/>
      <c r="AE1343" s="3"/>
      <c r="AK1343" s="5"/>
    </row>
    <row r="1344" spans="2:37" x14ac:dyDescent="0.25">
      <c r="B1344" s="1"/>
      <c r="E1344" s="2"/>
      <c r="H1344" s="3"/>
      <c r="I1344" s="3"/>
      <c r="K1344" s="3"/>
      <c r="X1344" s="4"/>
      <c r="AE1344" s="3"/>
      <c r="AK1344" s="5"/>
    </row>
    <row r="1345" spans="2:37" x14ac:dyDescent="0.25">
      <c r="B1345" s="1"/>
      <c r="E1345" s="2"/>
      <c r="G1345" s="3"/>
      <c r="H1345" s="3"/>
      <c r="I1345" s="3"/>
      <c r="K1345" s="3"/>
      <c r="L1345" s="3"/>
      <c r="X1345" s="4"/>
      <c r="AB1345" s="3"/>
      <c r="AD1345" s="3"/>
      <c r="AE1345" s="3"/>
      <c r="AK1345" s="5"/>
    </row>
    <row r="1346" spans="2:37" x14ac:dyDescent="0.25">
      <c r="B1346" s="1"/>
      <c r="E1346" s="2"/>
      <c r="H1346" s="3"/>
      <c r="I1346" s="3"/>
      <c r="K1346" s="3"/>
      <c r="L1346" s="3"/>
      <c r="X1346" s="4"/>
      <c r="AD1346" s="3"/>
      <c r="AE1346" s="3"/>
      <c r="AK1346" s="5"/>
    </row>
    <row r="1347" spans="2:37" x14ac:dyDescent="0.25">
      <c r="B1347" s="1"/>
      <c r="E1347" s="2"/>
      <c r="H1347" s="3"/>
      <c r="I1347" s="3"/>
      <c r="K1347" s="3"/>
      <c r="L1347" s="3"/>
      <c r="X1347" s="4"/>
      <c r="Z1347" s="3"/>
      <c r="AD1347" s="3"/>
      <c r="AE1347" s="3"/>
      <c r="AK1347" s="5"/>
    </row>
    <row r="1348" spans="2:37" x14ac:dyDescent="0.25">
      <c r="B1348" s="1"/>
      <c r="E1348" s="2"/>
      <c r="H1348" s="3"/>
      <c r="I1348" s="3"/>
      <c r="K1348" s="3"/>
      <c r="L1348" s="3"/>
      <c r="X1348" s="4"/>
      <c r="AB1348" s="3"/>
      <c r="AD1348" s="3"/>
      <c r="AE1348" s="3"/>
      <c r="AK1348" s="5"/>
    </row>
    <row r="1349" spans="2:37" x14ac:dyDescent="0.25">
      <c r="B1349" s="1"/>
      <c r="E1349" s="2"/>
      <c r="H1349" s="3"/>
      <c r="I1349" s="3"/>
      <c r="K1349" s="3"/>
      <c r="L1349" s="3"/>
      <c r="X1349" s="4"/>
      <c r="AD1349" s="3"/>
      <c r="AE1349" s="3"/>
      <c r="AK1349" s="5"/>
    </row>
    <row r="1350" spans="2:37" x14ac:dyDescent="0.25">
      <c r="B1350" s="1"/>
      <c r="E1350" s="2"/>
      <c r="H1350" s="3"/>
      <c r="I1350" s="3"/>
      <c r="K1350" s="3"/>
      <c r="L1350" s="3"/>
      <c r="X1350" s="4"/>
      <c r="AD1350" s="3"/>
      <c r="AE1350" s="3"/>
      <c r="AK1350" s="5"/>
    </row>
    <row r="1351" spans="2:37" x14ac:dyDescent="0.25">
      <c r="B1351" s="1"/>
      <c r="E1351" s="2"/>
      <c r="H1351" s="3"/>
      <c r="I1351" s="3"/>
      <c r="K1351" s="3"/>
      <c r="L1351" s="3"/>
      <c r="X1351" s="4"/>
      <c r="AD1351" s="3"/>
      <c r="AE1351" s="3"/>
      <c r="AK1351" s="5"/>
    </row>
    <row r="1352" spans="2:37" x14ac:dyDescent="0.25">
      <c r="B1352" s="3"/>
      <c r="E1352" s="2"/>
      <c r="F1352" s="3"/>
      <c r="G1352" s="3"/>
      <c r="H1352" s="3"/>
      <c r="I1352" s="3"/>
      <c r="K1352" s="3"/>
      <c r="L1352" s="3"/>
      <c r="X1352" s="4"/>
      <c r="AD1352" s="3"/>
      <c r="AE1352" s="3"/>
      <c r="AK1352" s="5"/>
    </row>
    <row r="1353" spans="2:37" x14ac:dyDescent="0.25">
      <c r="B1353" s="1"/>
      <c r="E1353" s="2"/>
      <c r="H1353" s="3"/>
      <c r="I1353" s="3"/>
      <c r="K1353" s="3"/>
      <c r="L1353" s="3"/>
      <c r="X1353" s="4"/>
      <c r="AB1353" s="3"/>
      <c r="AD1353" s="3"/>
      <c r="AE1353" s="3"/>
      <c r="AK1353" s="5"/>
    </row>
    <row r="1354" spans="2:37" x14ac:dyDescent="0.25">
      <c r="B1354" s="1"/>
      <c r="E1354" s="2"/>
      <c r="G1354" s="3"/>
      <c r="H1354" s="3"/>
      <c r="I1354" s="3"/>
      <c r="K1354" s="3"/>
      <c r="X1354" s="4"/>
      <c r="AK1354" s="5"/>
    </row>
    <row r="1355" spans="2:37" x14ac:dyDescent="0.25">
      <c r="B1355" s="1"/>
      <c r="E1355" s="2"/>
      <c r="H1355" s="3"/>
      <c r="I1355" s="3"/>
      <c r="K1355" s="3"/>
      <c r="L1355" s="3"/>
      <c r="X1355" s="4"/>
      <c r="AA1355" s="3"/>
      <c r="AD1355" s="3"/>
      <c r="AE1355" s="3"/>
      <c r="AK1355" s="5"/>
    </row>
    <row r="1356" spans="2:37" x14ac:dyDescent="0.25">
      <c r="B1356" s="1"/>
      <c r="E1356" s="2"/>
      <c r="H1356" s="3"/>
      <c r="I1356" s="3"/>
      <c r="K1356" s="3"/>
      <c r="L1356" s="3"/>
      <c r="X1356" s="4"/>
      <c r="Z1356" s="3"/>
      <c r="AD1356" s="3"/>
      <c r="AE1356" s="3"/>
      <c r="AK1356" s="5"/>
    </row>
    <row r="1357" spans="2:37" x14ac:dyDescent="0.25">
      <c r="B1357" s="1"/>
      <c r="E1357" s="2"/>
      <c r="H1357" s="3"/>
      <c r="I1357" s="3"/>
      <c r="K1357" s="3"/>
      <c r="L1357" s="3"/>
      <c r="X1357" s="4"/>
      <c r="Z1357" s="3"/>
      <c r="AB1357" s="3"/>
      <c r="AE1357" s="3"/>
      <c r="AK1357" s="5"/>
    </row>
    <row r="1358" spans="2:37" x14ac:dyDescent="0.25">
      <c r="B1358" s="1"/>
      <c r="E1358" s="2"/>
      <c r="H1358" s="3"/>
      <c r="I1358" s="3"/>
      <c r="K1358" s="3"/>
      <c r="L1358" s="3"/>
      <c r="X1358" s="4"/>
      <c r="Z1358" s="3"/>
      <c r="AE1358" s="3"/>
      <c r="AK1358" s="5"/>
    </row>
    <row r="1359" spans="2:37" x14ac:dyDescent="0.25">
      <c r="B1359" s="1"/>
      <c r="E1359" s="2"/>
      <c r="H1359" s="3"/>
      <c r="I1359" s="3"/>
      <c r="K1359" s="3"/>
      <c r="L1359" s="3"/>
      <c r="X1359" s="4"/>
      <c r="Z1359" s="3"/>
      <c r="AE1359" s="3"/>
      <c r="AK1359" s="5"/>
    </row>
    <row r="1360" spans="2:37" x14ac:dyDescent="0.25">
      <c r="B1360" s="1"/>
      <c r="D1360" s="3"/>
      <c r="E1360" s="2"/>
      <c r="G1360" s="3"/>
      <c r="H1360" s="3"/>
      <c r="I1360" s="3"/>
      <c r="K1360" s="3"/>
      <c r="X1360" s="4"/>
      <c r="AE1360" s="3"/>
      <c r="AK1360" s="5"/>
    </row>
    <row r="1361" spans="2:37" x14ac:dyDescent="0.25">
      <c r="B1361" s="1"/>
      <c r="E1361" s="2"/>
      <c r="H1361" s="3"/>
      <c r="I1361" s="3"/>
      <c r="K1361" s="3"/>
      <c r="L1361" s="3"/>
      <c r="X1361" s="4"/>
      <c r="Z1361" s="3"/>
      <c r="AE1361" s="3"/>
      <c r="AK1361" s="5"/>
    </row>
    <row r="1362" spans="2:37" x14ac:dyDescent="0.25">
      <c r="B1362" s="3"/>
      <c r="E1362" s="2"/>
      <c r="G1362" s="3"/>
      <c r="H1362" s="3"/>
      <c r="I1362" s="3"/>
      <c r="K1362" s="3"/>
      <c r="L1362" s="3"/>
      <c r="X1362" s="4"/>
      <c r="Z1362" s="3"/>
      <c r="AE1362" s="3"/>
      <c r="AK1362" s="5"/>
    </row>
    <row r="1363" spans="2:37" x14ac:dyDescent="0.25">
      <c r="B1363" s="1"/>
      <c r="E1363" s="2"/>
      <c r="H1363" s="3"/>
      <c r="I1363" s="3"/>
      <c r="K1363" s="3"/>
      <c r="L1363" s="3"/>
      <c r="X1363" s="4"/>
      <c r="Z1363" s="3"/>
      <c r="AE1363" s="3"/>
      <c r="AK1363" s="5"/>
    </row>
    <row r="1364" spans="2:37" x14ac:dyDescent="0.25">
      <c r="B1364" s="1"/>
      <c r="E1364" s="2"/>
      <c r="G1364" s="3"/>
      <c r="X1364" s="4"/>
    </row>
    <row r="1365" spans="2:37" x14ac:dyDescent="0.25">
      <c r="B1365" s="1"/>
      <c r="E1365" s="2"/>
      <c r="H1365" s="3"/>
      <c r="I1365" s="3"/>
      <c r="K1365" s="3"/>
      <c r="L1365" s="3"/>
      <c r="X1365" s="4"/>
      <c r="Z1365" s="3"/>
      <c r="AE1365" s="3"/>
      <c r="AK1365" s="5"/>
    </row>
    <row r="1366" spans="2:37" x14ac:dyDescent="0.25">
      <c r="B1366" s="1"/>
      <c r="E1366" s="2"/>
      <c r="H1366" s="3"/>
      <c r="I1366" s="3"/>
      <c r="K1366" s="3"/>
      <c r="L1366" s="3"/>
      <c r="X1366" s="4"/>
    </row>
    <row r="1367" spans="2:37" x14ac:dyDescent="0.25">
      <c r="B1367" s="1"/>
      <c r="D1367" s="3"/>
      <c r="E1367" s="2"/>
      <c r="G1367" s="3"/>
      <c r="H1367" s="3"/>
      <c r="I1367" s="3"/>
      <c r="K1367" s="3"/>
      <c r="L1367" s="3"/>
      <c r="X1367" s="4"/>
    </row>
    <row r="1368" spans="2:37" x14ac:dyDescent="0.25">
      <c r="B1368" s="1"/>
      <c r="E1368" s="2"/>
      <c r="G1368" s="3"/>
      <c r="H1368" s="3"/>
      <c r="I1368" s="3"/>
      <c r="K1368" s="3"/>
      <c r="L1368" s="3"/>
      <c r="X1368" s="4"/>
      <c r="Z1368" s="3"/>
      <c r="AE1368" s="3"/>
      <c r="AK1368" s="5"/>
    </row>
    <row r="1369" spans="2:37" x14ac:dyDescent="0.25">
      <c r="B1369" s="1"/>
      <c r="E1369" s="2"/>
      <c r="H1369" s="3"/>
      <c r="I1369" s="3"/>
      <c r="K1369" s="3"/>
      <c r="L1369" s="3"/>
      <c r="X1369" s="4"/>
      <c r="Z1369" s="3"/>
      <c r="AE1369" s="3"/>
      <c r="AK1369" s="5"/>
    </row>
    <row r="1370" spans="2:37" x14ac:dyDescent="0.25">
      <c r="B1370" s="1"/>
      <c r="E1370" s="2"/>
      <c r="H1370" s="3"/>
      <c r="I1370" s="3"/>
      <c r="K1370" s="3"/>
      <c r="X1370" s="4"/>
      <c r="AK1370" s="5"/>
    </row>
    <row r="1371" spans="2:37" x14ac:dyDescent="0.25">
      <c r="B1371" s="1"/>
      <c r="E1371" s="2"/>
      <c r="H1371" s="3"/>
      <c r="I1371" s="3"/>
      <c r="K1371" s="3"/>
      <c r="X1371" s="4"/>
      <c r="AK1371" s="5"/>
    </row>
    <row r="1372" spans="2:37" x14ac:dyDescent="0.25">
      <c r="B1372" s="1"/>
      <c r="E1372" s="2"/>
      <c r="H1372" s="3"/>
      <c r="I1372" s="3"/>
      <c r="K1372" s="3"/>
      <c r="L1372" s="3"/>
      <c r="X1372" s="4"/>
      <c r="AB1372" s="3"/>
      <c r="AE1372" s="3"/>
      <c r="AK1372" s="5"/>
    </row>
    <row r="1373" spans="2:37" x14ac:dyDescent="0.25">
      <c r="B1373" s="1"/>
      <c r="E1373" s="2"/>
      <c r="G1373" s="3"/>
      <c r="H1373" s="3"/>
      <c r="I1373" s="3"/>
      <c r="K1373" s="3"/>
      <c r="L1373" s="3"/>
      <c r="X1373" s="4"/>
      <c r="Z1373" s="3"/>
      <c r="AE1373" s="3"/>
      <c r="AK1373" s="5"/>
    </row>
    <row r="1374" spans="2:37" x14ac:dyDescent="0.25">
      <c r="B1374" s="1"/>
      <c r="E1374" s="2"/>
      <c r="H1374" s="3"/>
      <c r="I1374" s="3"/>
      <c r="K1374" s="3"/>
      <c r="L1374" s="3"/>
      <c r="X1374" s="4"/>
    </row>
    <row r="1375" spans="2:37" x14ac:dyDescent="0.25">
      <c r="B1375" s="3"/>
      <c r="G1375" s="3"/>
    </row>
    <row r="1376" spans="2:37" x14ac:dyDescent="0.25">
      <c r="B1376" s="1"/>
      <c r="E1376" s="2"/>
      <c r="H1376" s="3"/>
      <c r="I1376" s="3"/>
      <c r="K1376" s="3"/>
      <c r="L1376" s="3"/>
      <c r="X1376" s="4"/>
      <c r="AK1376" s="5"/>
    </row>
    <row r="1377" spans="2:37" x14ac:dyDescent="0.25">
      <c r="B1377" s="1"/>
      <c r="E1377" s="2"/>
      <c r="G1377" s="3"/>
      <c r="H1377" s="3"/>
      <c r="I1377" s="3"/>
      <c r="K1377" s="3"/>
      <c r="X1377" s="4"/>
      <c r="AK1377" s="5"/>
    </row>
    <row r="1378" spans="2:37" x14ac:dyDescent="0.25">
      <c r="B1378" s="1"/>
      <c r="E1378" s="2"/>
      <c r="H1378" s="3"/>
      <c r="I1378" s="3"/>
      <c r="K1378" s="3"/>
      <c r="L1378" s="3"/>
      <c r="X1378" s="4"/>
      <c r="Z1378" s="3"/>
      <c r="AE1378" s="3"/>
      <c r="AK1378" s="5"/>
    </row>
    <row r="1379" spans="2:37" x14ac:dyDescent="0.25">
      <c r="B1379" s="1"/>
      <c r="E1379" s="2"/>
      <c r="G1379" s="3"/>
      <c r="H1379" s="3"/>
      <c r="I1379" s="3"/>
      <c r="K1379" s="3"/>
      <c r="L1379" s="3"/>
      <c r="X1379" s="4"/>
      <c r="AB1379" s="3"/>
      <c r="AE1379" s="3"/>
      <c r="AK1379" s="5"/>
    </row>
    <row r="1380" spans="2:37" x14ac:dyDescent="0.25">
      <c r="B1380" s="1"/>
      <c r="E1380" s="2"/>
      <c r="H1380" s="3"/>
      <c r="I1380" s="3"/>
      <c r="K1380" s="3"/>
      <c r="L1380" s="3"/>
      <c r="X1380" s="4"/>
      <c r="AD1380" s="3"/>
      <c r="AE1380" s="3"/>
      <c r="AK1380" s="5"/>
    </row>
    <row r="1381" spans="2:37" x14ac:dyDescent="0.25">
      <c r="B1381" s="1"/>
      <c r="E1381" s="2"/>
      <c r="G1381" s="3"/>
      <c r="X1381" s="4"/>
    </row>
    <row r="1382" spans="2:37" x14ac:dyDescent="0.25">
      <c r="B1382" s="1"/>
      <c r="E1382" s="2"/>
      <c r="H1382" s="3"/>
      <c r="I1382" s="3"/>
      <c r="K1382" s="3"/>
      <c r="L1382" s="3"/>
      <c r="X1382" s="4"/>
      <c r="Z1382" s="3"/>
      <c r="AE1382" s="3"/>
      <c r="AK1382" s="5"/>
    </row>
    <row r="1383" spans="2:37" x14ac:dyDescent="0.25">
      <c r="B1383" s="1"/>
      <c r="E1383" s="2"/>
      <c r="G1383" s="3"/>
      <c r="H1383" s="3"/>
      <c r="I1383" s="3"/>
      <c r="K1383" s="3"/>
      <c r="L1383" s="3"/>
      <c r="X1383" s="4"/>
      <c r="Z1383" s="3"/>
      <c r="AE1383" s="3"/>
      <c r="AK1383" s="5"/>
    </row>
    <row r="1384" spans="2:37" x14ac:dyDescent="0.25">
      <c r="B1384" s="1"/>
      <c r="E1384" s="2"/>
      <c r="H1384" s="3"/>
      <c r="I1384" s="3"/>
      <c r="K1384" s="3"/>
      <c r="L1384" s="3"/>
      <c r="X1384" s="4"/>
      <c r="AB1384" s="3"/>
      <c r="AE1384" s="3"/>
      <c r="AK1384" s="5"/>
    </row>
    <row r="1385" spans="2:37" x14ac:dyDescent="0.25">
      <c r="B1385" s="1"/>
      <c r="E1385" s="2"/>
      <c r="G1385" s="3"/>
      <c r="H1385" s="3"/>
      <c r="I1385" s="3"/>
      <c r="K1385" s="3"/>
      <c r="L1385" s="3"/>
      <c r="X1385" s="4"/>
      <c r="AB1385" s="3"/>
      <c r="AE1385" s="3"/>
      <c r="AK1385" s="5"/>
    </row>
    <row r="1386" spans="2:37" x14ac:dyDescent="0.25">
      <c r="B1386" s="1"/>
      <c r="E1386" s="2"/>
      <c r="H1386" s="3"/>
      <c r="I1386" s="3"/>
      <c r="K1386" s="3"/>
      <c r="L1386" s="3"/>
      <c r="X1386" s="4"/>
      <c r="AE1386" s="3"/>
      <c r="AK1386" s="5"/>
    </row>
    <row r="1387" spans="2:37" x14ac:dyDescent="0.25">
      <c r="B1387" s="1"/>
      <c r="E1387" s="2"/>
      <c r="H1387" s="3"/>
      <c r="I1387" s="3"/>
      <c r="K1387" s="3"/>
      <c r="X1387" s="4"/>
      <c r="AK1387" s="5"/>
    </row>
    <row r="1388" spans="2:37" x14ac:dyDescent="0.25">
      <c r="B1388" s="1"/>
      <c r="E1388" s="2"/>
      <c r="F1388" s="3"/>
      <c r="G1388" s="3"/>
      <c r="H1388" s="3"/>
      <c r="I1388" s="3"/>
      <c r="K1388" s="3"/>
      <c r="X1388" s="4"/>
      <c r="AK1388" s="5"/>
    </row>
    <row r="1389" spans="2:37" x14ac:dyDescent="0.25">
      <c r="B1389" s="1"/>
      <c r="E1389" s="2"/>
      <c r="H1389" s="3"/>
      <c r="I1389" s="3"/>
      <c r="K1389" s="3"/>
      <c r="X1389" s="4"/>
      <c r="AK1389" s="5"/>
    </row>
    <row r="1390" spans="2:37" x14ac:dyDescent="0.25">
      <c r="B1390" s="1"/>
      <c r="E1390" s="2"/>
      <c r="H1390" s="3"/>
      <c r="I1390" s="3"/>
      <c r="K1390" s="3"/>
      <c r="L1390" s="3"/>
      <c r="X1390" s="4"/>
      <c r="Z1390" s="3"/>
      <c r="AE1390" s="3"/>
      <c r="AK1390" s="5"/>
    </row>
    <row r="1391" spans="2:37" x14ac:dyDescent="0.25">
      <c r="B1391" s="1"/>
      <c r="E1391" s="2"/>
      <c r="H1391" s="3"/>
      <c r="I1391" s="3"/>
      <c r="K1391" s="3"/>
      <c r="L1391" s="3"/>
      <c r="X1391" s="4"/>
      <c r="Z1391" s="3"/>
      <c r="AE1391" s="3"/>
      <c r="AK1391" s="5"/>
    </row>
    <row r="1392" spans="2:37" x14ac:dyDescent="0.25">
      <c r="B1392" s="1"/>
      <c r="E1392" s="2"/>
      <c r="G1392" s="3"/>
      <c r="H1392" s="3"/>
      <c r="I1392" s="3"/>
      <c r="K1392" s="3"/>
      <c r="L1392" s="3"/>
      <c r="X1392" s="4"/>
      <c r="AB1392" s="3"/>
      <c r="AE1392" s="3"/>
      <c r="AK1392" s="5"/>
    </row>
    <row r="1393" spans="2:37" x14ac:dyDescent="0.25">
      <c r="B1393" s="1"/>
      <c r="E1393" s="2"/>
      <c r="H1393" s="3"/>
      <c r="I1393" s="3"/>
      <c r="K1393" s="3"/>
      <c r="L1393" s="3"/>
      <c r="X1393" s="4"/>
    </row>
    <row r="1394" spans="2:37" x14ac:dyDescent="0.25">
      <c r="B1394" s="3"/>
      <c r="E1394" s="2"/>
      <c r="G1394" s="3"/>
      <c r="H1394" s="3"/>
      <c r="I1394" s="3"/>
      <c r="K1394" s="3"/>
      <c r="X1394" s="4"/>
      <c r="AK1394" s="5"/>
    </row>
    <row r="1395" spans="2:37" x14ac:dyDescent="0.25">
      <c r="B1395" s="1"/>
      <c r="E1395" s="2"/>
      <c r="H1395" s="3"/>
      <c r="I1395" s="3"/>
      <c r="K1395" s="3"/>
      <c r="L1395" s="3"/>
      <c r="X1395" s="4"/>
      <c r="AA1395" s="3"/>
      <c r="AK1395" s="5"/>
    </row>
    <row r="1396" spans="2:37" x14ac:dyDescent="0.25">
      <c r="B1396" s="1"/>
      <c r="E1396" s="2"/>
      <c r="G1396" s="3"/>
      <c r="H1396" s="3"/>
      <c r="I1396" s="3"/>
      <c r="K1396" s="3"/>
      <c r="X1396" s="4"/>
      <c r="AE1396" s="3"/>
      <c r="AK1396" s="5"/>
    </row>
    <row r="1397" spans="2:37" x14ac:dyDescent="0.25">
      <c r="B1397" s="1"/>
      <c r="E1397" s="2"/>
      <c r="H1397" s="3"/>
      <c r="I1397" s="3"/>
      <c r="K1397" s="3"/>
      <c r="L1397" s="3"/>
      <c r="X1397" s="4"/>
      <c r="AK1397" s="5"/>
    </row>
    <row r="1398" spans="2:37" x14ac:dyDescent="0.25">
      <c r="B1398" s="1"/>
      <c r="D1398" s="3"/>
      <c r="E1398" s="2"/>
      <c r="G1398" s="3"/>
      <c r="H1398" s="3"/>
      <c r="I1398" s="3"/>
      <c r="K1398" s="3"/>
      <c r="X1398" s="4"/>
      <c r="AK1398" s="5"/>
    </row>
    <row r="1399" spans="2:37" x14ac:dyDescent="0.25">
      <c r="B1399" s="1"/>
      <c r="E1399" s="2"/>
      <c r="H1399" s="3"/>
      <c r="I1399" s="3"/>
      <c r="K1399" s="3"/>
      <c r="L1399" s="3"/>
      <c r="X1399" s="4"/>
      <c r="Z1399" s="3"/>
      <c r="AE1399" s="3"/>
      <c r="AK1399" s="5"/>
    </row>
    <row r="1400" spans="2:37" x14ac:dyDescent="0.25">
      <c r="B1400" s="1"/>
      <c r="E1400" s="2"/>
      <c r="G1400" s="3"/>
      <c r="H1400" s="3"/>
      <c r="I1400" s="3"/>
      <c r="K1400" s="3"/>
      <c r="L1400" s="3"/>
      <c r="X1400" s="4"/>
    </row>
    <row r="1401" spans="2:37" x14ac:dyDescent="0.25">
      <c r="B1401" s="3"/>
      <c r="C1401" s="3"/>
      <c r="E1401" s="2"/>
      <c r="G1401" s="3"/>
      <c r="H1401" s="3"/>
      <c r="I1401" s="3"/>
      <c r="K1401" s="3"/>
      <c r="X1401" s="4"/>
    </row>
    <row r="1402" spans="2:37" x14ac:dyDescent="0.25">
      <c r="B1402" s="1"/>
      <c r="E1402" s="2"/>
      <c r="G1402" s="3"/>
      <c r="H1402" s="3"/>
      <c r="I1402" s="3"/>
      <c r="K1402" s="3"/>
      <c r="L1402" s="3"/>
      <c r="X1402" s="4"/>
      <c r="AD1402" s="3"/>
      <c r="AK1402" s="5"/>
    </row>
    <row r="1403" spans="2:37" x14ac:dyDescent="0.25">
      <c r="B1403" s="1"/>
      <c r="E1403" s="2"/>
      <c r="G1403" s="3"/>
      <c r="H1403" s="3"/>
      <c r="I1403" s="3"/>
      <c r="K1403" s="3"/>
      <c r="L1403" s="3"/>
      <c r="X1403" s="4"/>
      <c r="Z1403" s="3"/>
      <c r="AE1403" s="3"/>
      <c r="AK1403" s="5"/>
    </row>
    <row r="1404" spans="2:37" x14ac:dyDescent="0.25">
      <c r="B1404" s="1"/>
      <c r="E1404" s="2"/>
      <c r="G1404" s="3"/>
      <c r="H1404" s="3"/>
      <c r="I1404" s="3"/>
      <c r="K1404" s="3"/>
      <c r="L1404" s="3"/>
      <c r="X1404" s="4"/>
      <c r="Z1404" s="3"/>
      <c r="AE1404" s="3"/>
      <c r="AK1404" s="5"/>
    </row>
    <row r="1405" spans="2:37" x14ac:dyDescent="0.25">
      <c r="B1405" s="1"/>
      <c r="E1405" s="2"/>
      <c r="G1405" s="3"/>
      <c r="H1405" s="3"/>
      <c r="I1405" s="3"/>
      <c r="K1405" s="3"/>
      <c r="L1405" s="3"/>
      <c r="X1405" s="4"/>
      <c r="Z1405" s="3"/>
      <c r="AE1405" s="3"/>
      <c r="AK1405" s="5"/>
    </row>
    <row r="1406" spans="2:37" x14ac:dyDescent="0.25">
      <c r="B1406" s="1"/>
      <c r="E1406" s="2"/>
      <c r="F1406" s="3"/>
      <c r="G1406" s="3"/>
      <c r="H1406" s="3"/>
      <c r="I1406" s="3"/>
      <c r="K1406" s="3"/>
      <c r="L1406" s="3"/>
      <c r="X1406" s="4"/>
      <c r="Z1406" s="3"/>
      <c r="AE1406" s="3"/>
      <c r="AK1406" s="5"/>
    </row>
    <row r="1407" spans="2:37" x14ac:dyDescent="0.25">
      <c r="B1407" s="1"/>
      <c r="E1407" s="2"/>
      <c r="H1407" s="3"/>
      <c r="I1407" s="3"/>
      <c r="K1407" s="3"/>
      <c r="L1407" s="3"/>
      <c r="X1407" s="4"/>
      <c r="Z1407" s="3"/>
      <c r="AE1407" s="3"/>
      <c r="AK1407" s="5"/>
    </row>
    <row r="1408" spans="2:37" x14ac:dyDescent="0.25">
      <c r="B1408" s="1"/>
      <c r="E1408" s="2"/>
      <c r="H1408" s="3"/>
      <c r="I1408" s="3"/>
      <c r="K1408" s="3"/>
      <c r="L1408" s="3"/>
      <c r="X1408" s="4"/>
      <c r="Z1408" s="3"/>
      <c r="AE1408" s="3"/>
      <c r="AK1408" s="5"/>
    </row>
    <row r="1409" spans="2:37" x14ac:dyDescent="0.25">
      <c r="B1409" s="1"/>
      <c r="E1409" s="2"/>
      <c r="H1409" s="3"/>
      <c r="I1409" s="3"/>
      <c r="K1409" s="3"/>
      <c r="L1409" s="3"/>
      <c r="X1409" s="4"/>
      <c r="Z1409" s="3"/>
      <c r="AE1409" s="3"/>
      <c r="AK1409" s="5"/>
    </row>
    <row r="1410" spans="2:37" x14ac:dyDescent="0.25">
      <c r="B1410" s="1"/>
      <c r="E1410" s="2"/>
      <c r="H1410" s="3"/>
      <c r="I1410" s="3"/>
      <c r="K1410" s="3"/>
      <c r="L1410" s="3"/>
      <c r="X1410" s="4"/>
      <c r="Z1410" s="3"/>
      <c r="AE1410" s="3"/>
      <c r="AK1410" s="5"/>
    </row>
    <row r="1411" spans="2:37" x14ac:dyDescent="0.25">
      <c r="B1411" s="1"/>
      <c r="E1411" s="2"/>
      <c r="H1411" s="3"/>
      <c r="I1411" s="3"/>
      <c r="K1411" s="3"/>
      <c r="X1411" s="4"/>
      <c r="AE1411" s="3"/>
      <c r="AK1411" s="5"/>
    </row>
    <row r="1412" spans="2:37" x14ac:dyDescent="0.25">
      <c r="B1412" s="1"/>
      <c r="E1412" s="2"/>
      <c r="G1412" s="3"/>
      <c r="H1412" s="3"/>
      <c r="I1412" s="3"/>
      <c r="K1412" s="3"/>
      <c r="L1412" s="3"/>
      <c r="X1412" s="4"/>
      <c r="Z1412" s="3"/>
      <c r="AE1412" s="3"/>
      <c r="AK1412" s="5"/>
    </row>
    <row r="1413" spans="2:37" x14ac:dyDescent="0.25">
      <c r="B1413" s="1"/>
      <c r="E1413" s="2"/>
      <c r="H1413" s="3"/>
      <c r="I1413" s="3"/>
      <c r="K1413" s="3"/>
      <c r="L1413" s="3"/>
      <c r="X1413" s="4"/>
      <c r="Z1413" s="3"/>
      <c r="AE1413" s="3"/>
      <c r="AK1413" s="5"/>
    </row>
    <row r="1414" spans="2:37" x14ac:dyDescent="0.25">
      <c r="B1414" s="1"/>
      <c r="E1414" s="2"/>
      <c r="G1414" s="3"/>
      <c r="H1414" s="3"/>
      <c r="I1414" s="3"/>
      <c r="K1414" s="3"/>
      <c r="L1414" s="3"/>
      <c r="X1414" s="4"/>
      <c r="Z1414" s="3"/>
      <c r="AE1414" s="3"/>
      <c r="AK1414" s="5"/>
    </row>
    <row r="1415" spans="2:37" x14ac:dyDescent="0.25">
      <c r="B1415" s="1"/>
      <c r="E1415" s="2"/>
      <c r="H1415" s="3"/>
      <c r="I1415" s="3"/>
      <c r="K1415" s="3"/>
      <c r="L1415" s="3"/>
      <c r="X1415" s="4"/>
      <c r="Z1415" s="3"/>
      <c r="AE1415" s="3"/>
      <c r="AK1415" s="5"/>
    </row>
    <row r="1416" spans="2:37" x14ac:dyDescent="0.25">
      <c r="B1416" s="1"/>
      <c r="E1416" s="2"/>
      <c r="H1416" s="3"/>
      <c r="I1416" s="3"/>
      <c r="K1416" s="3"/>
      <c r="L1416" s="3"/>
      <c r="X1416" s="4"/>
      <c r="AA1416" s="3"/>
      <c r="AD1416" s="3"/>
      <c r="AE1416" s="3"/>
      <c r="AK1416" s="5"/>
    </row>
    <row r="1417" spans="2:37" x14ac:dyDescent="0.25">
      <c r="B1417" s="1"/>
      <c r="E1417" s="2"/>
      <c r="H1417" s="3"/>
      <c r="I1417" s="3"/>
      <c r="K1417" s="3"/>
      <c r="L1417" s="3"/>
      <c r="X1417" s="4"/>
      <c r="Z1417" s="3"/>
      <c r="AA1417" s="3"/>
      <c r="AD1417" s="3"/>
      <c r="AE1417" s="3"/>
      <c r="AK1417" s="5"/>
    </row>
    <row r="1418" spans="2:37" x14ac:dyDescent="0.25">
      <c r="B1418" s="1"/>
      <c r="E1418" s="2"/>
      <c r="H1418" s="3"/>
      <c r="I1418" s="3"/>
      <c r="K1418" s="3"/>
      <c r="L1418" s="3"/>
      <c r="X1418" s="4"/>
      <c r="Z1418" s="3"/>
      <c r="AD1418" s="3"/>
      <c r="AE1418" s="3"/>
      <c r="AK1418" s="5"/>
    </row>
    <row r="1419" spans="2:37" x14ac:dyDescent="0.25">
      <c r="B1419" s="1"/>
      <c r="E1419" s="2"/>
      <c r="H1419" s="3"/>
      <c r="I1419" s="3"/>
      <c r="K1419" s="3"/>
      <c r="L1419" s="3"/>
      <c r="X1419" s="4"/>
      <c r="Z1419" s="3"/>
      <c r="AA1419" s="3"/>
      <c r="AE1419" s="3"/>
      <c r="AK1419" s="5"/>
    </row>
    <row r="1420" spans="2:37" x14ac:dyDescent="0.25">
      <c r="B1420" s="1"/>
      <c r="E1420" s="2"/>
      <c r="G1420" s="3"/>
      <c r="H1420" s="3"/>
      <c r="I1420" s="3"/>
      <c r="K1420" s="3"/>
      <c r="L1420" s="3"/>
      <c r="X1420" s="4"/>
      <c r="Z1420" s="3"/>
      <c r="AE1420" s="3"/>
      <c r="AK1420" s="5"/>
    </row>
    <row r="1421" spans="2:37" x14ac:dyDescent="0.25">
      <c r="B1421" s="1"/>
      <c r="E1421" s="2"/>
      <c r="G1421" s="3"/>
      <c r="H1421" s="3"/>
      <c r="I1421" s="3"/>
      <c r="K1421" s="3"/>
      <c r="L1421" s="3"/>
      <c r="X1421" s="4"/>
      <c r="Z1421" s="3"/>
      <c r="AE1421" s="3"/>
      <c r="AK1421" s="5"/>
    </row>
    <row r="1422" spans="2:37" x14ac:dyDescent="0.25">
      <c r="B1422" s="1"/>
      <c r="E1422" s="2"/>
      <c r="H1422" s="3"/>
      <c r="I1422" s="3"/>
      <c r="K1422" s="3"/>
      <c r="L1422" s="3"/>
      <c r="X1422" s="4"/>
      <c r="Z1422" s="3"/>
      <c r="AB1422" s="3"/>
      <c r="AE1422" s="3"/>
      <c r="AK1422" s="5"/>
    </row>
    <row r="1423" spans="2:37" x14ac:dyDescent="0.25">
      <c r="B1423" s="1"/>
      <c r="E1423" s="2"/>
      <c r="H1423" s="3"/>
      <c r="I1423" s="3"/>
      <c r="K1423" s="3"/>
      <c r="L1423" s="3"/>
      <c r="X1423" s="4"/>
      <c r="Z1423" s="3"/>
      <c r="AB1423" s="3"/>
      <c r="AE1423" s="3"/>
      <c r="AK1423" s="5"/>
    </row>
    <row r="1424" spans="2:37" x14ac:dyDescent="0.25">
      <c r="B1424" s="3"/>
      <c r="E1424" s="2"/>
      <c r="G1424" s="3"/>
      <c r="H1424" s="3"/>
      <c r="I1424" s="3"/>
      <c r="K1424" s="3"/>
      <c r="L1424" s="3"/>
      <c r="X1424" s="4"/>
      <c r="Z1424" s="3"/>
      <c r="AE1424" s="3"/>
      <c r="AK1424" s="5"/>
    </row>
    <row r="1425" spans="2:37" x14ac:dyDescent="0.25">
      <c r="B1425" s="1"/>
      <c r="E1425" s="2"/>
      <c r="H1425" s="3"/>
      <c r="I1425" s="3"/>
      <c r="K1425" s="3"/>
      <c r="L1425" s="3"/>
      <c r="X1425" s="4"/>
      <c r="Z1425" s="3"/>
      <c r="AE1425" s="3"/>
      <c r="AK1425" s="5"/>
    </row>
    <row r="1426" spans="2:37" x14ac:dyDescent="0.25">
      <c r="B1426" s="1"/>
      <c r="E1426" s="2"/>
      <c r="H1426" s="3"/>
      <c r="I1426" s="3"/>
      <c r="K1426" s="3"/>
      <c r="L1426" s="3"/>
      <c r="X1426" s="4"/>
      <c r="Z1426" s="3"/>
      <c r="AB1426" s="3"/>
      <c r="AE1426" s="3"/>
      <c r="AK1426" s="5"/>
    </row>
    <row r="1427" spans="2:37" x14ac:dyDescent="0.25">
      <c r="B1427" s="1"/>
      <c r="E1427" s="2"/>
      <c r="H1427" s="3"/>
      <c r="I1427" s="3"/>
      <c r="K1427" s="3"/>
      <c r="L1427" s="3"/>
      <c r="X1427" s="4"/>
      <c r="Z1427" s="3"/>
      <c r="AE1427" s="3"/>
      <c r="AK1427" s="5"/>
    </row>
    <row r="1428" spans="2:37" x14ac:dyDescent="0.25">
      <c r="B1428" s="1"/>
      <c r="E1428" s="2"/>
      <c r="G1428" s="3"/>
      <c r="H1428" s="3"/>
      <c r="I1428" s="3"/>
      <c r="K1428" s="3"/>
      <c r="L1428" s="3"/>
      <c r="X1428" s="4"/>
      <c r="Z1428" s="3"/>
      <c r="AE1428" s="3"/>
      <c r="AK1428" s="5"/>
    </row>
    <row r="1429" spans="2:37" x14ac:dyDescent="0.25">
      <c r="B1429" s="1"/>
      <c r="E1429" s="2"/>
      <c r="H1429" s="3"/>
      <c r="I1429" s="3"/>
      <c r="K1429" s="3"/>
      <c r="L1429" s="3"/>
      <c r="X1429" s="4"/>
      <c r="Z1429" s="3"/>
      <c r="AE1429" s="3"/>
      <c r="AK1429" s="5"/>
    </row>
    <row r="1430" spans="2:37" x14ac:dyDescent="0.25">
      <c r="B1430" s="1"/>
      <c r="E1430" s="2"/>
      <c r="H1430" s="3"/>
      <c r="I1430" s="3"/>
      <c r="K1430" s="3"/>
      <c r="L1430" s="3"/>
      <c r="X1430" s="4"/>
      <c r="Z1430" s="3"/>
      <c r="AE1430" s="3"/>
      <c r="AK1430" s="5"/>
    </row>
    <row r="1431" spans="2:37" x14ac:dyDescent="0.25">
      <c r="B1431" s="1"/>
      <c r="E1431" s="2"/>
      <c r="H1431" s="3"/>
      <c r="I1431" s="3"/>
      <c r="K1431" s="3"/>
      <c r="L1431" s="3"/>
      <c r="X1431" s="4"/>
      <c r="Z1431" s="3"/>
      <c r="AE1431" s="3"/>
      <c r="AK1431" s="5"/>
    </row>
    <row r="1432" spans="2:37" x14ac:dyDescent="0.25">
      <c r="B1432" s="1"/>
      <c r="E1432" s="2"/>
      <c r="H1432" s="3"/>
      <c r="I1432" s="3"/>
      <c r="K1432" s="3"/>
      <c r="L1432" s="3"/>
      <c r="X1432" s="4"/>
      <c r="Z1432" s="3"/>
      <c r="AE1432" s="3"/>
      <c r="AK1432" s="5"/>
    </row>
    <row r="1433" spans="2:37" x14ac:dyDescent="0.25">
      <c r="B1433" s="1"/>
      <c r="E1433" s="2"/>
      <c r="G1433" s="3"/>
      <c r="H1433" s="3"/>
      <c r="I1433" s="3"/>
      <c r="K1433" s="3"/>
      <c r="L1433" s="3"/>
      <c r="X1433" s="4"/>
      <c r="Z1433" s="3"/>
      <c r="AB1433" s="3"/>
      <c r="AE1433" s="3"/>
      <c r="AK1433" s="5"/>
    </row>
    <row r="1434" spans="2:37" x14ac:dyDescent="0.25">
      <c r="B1434" s="1"/>
      <c r="E1434" s="2"/>
      <c r="H1434" s="3"/>
      <c r="I1434" s="3"/>
      <c r="K1434" s="3"/>
      <c r="L1434" s="3"/>
      <c r="X1434" s="4"/>
      <c r="Z1434" s="3"/>
      <c r="AB1434" s="3"/>
      <c r="AE1434" s="3"/>
      <c r="AK1434" s="5"/>
    </row>
    <row r="1435" spans="2:37" x14ac:dyDescent="0.25">
      <c r="B1435" s="3"/>
      <c r="E1435" s="2"/>
      <c r="G1435" s="3"/>
      <c r="H1435" s="3"/>
      <c r="I1435" s="3"/>
      <c r="K1435" s="3"/>
      <c r="L1435" s="3"/>
      <c r="X1435" s="4"/>
      <c r="Z1435" s="3"/>
      <c r="AB1435" s="3"/>
      <c r="AE1435" s="3"/>
      <c r="AK1435" s="5"/>
    </row>
    <row r="1436" spans="2:37" x14ac:dyDescent="0.25">
      <c r="B1436" s="1"/>
      <c r="E1436" s="2"/>
      <c r="H1436" s="3"/>
      <c r="I1436" s="3"/>
      <c r="K1436" s="3"/>
      <c r="X1436" s="4"/>
    </row>
    <row r="1437" spans="2:37" x14ac:dyDescent="0.25">
      <c r="B1437" s="1"/>
      <c r="E1437" s="2"/>
      <c r="H1437" s="3"/>
      <c r="I1437" s="3"/>
      <c r="K1437" s="3"/>
      <c r="L1437" s="3"/>
      <c r="X1437" s="4"/>
    </row>
    <row r="1438" spans="2:37" x14ac:dyDescent="0.25">
      <c r="B1438" s="1"/>
      <c r="E1438" s="2"/>
      <c r="G1438" s="3"/>
      <c r="H1438" s="3"/>
      <c r="I1438" s="3"/>
      <c r="K1438" s="3"/>
      <c r="L1438" s="3"/>
      <c r="X1438" s="4"/>
      <c r="Z1438" s="3"/>
      <c r="AB1438" s="3"/>
      <c r="AE1438" s="3"/>
      <c r="AK1438" s="5"/>
    </row>
    <row r="1439" spans="2:37" x14ac:dyDescent="0.25">
      <c r="B1439" s="1"/>
      <c r="E1439" s="2"/>
      <c r="H1439" s="3"/>
      <c r="I1439" s="3"/>
      <c r="K1439" s="3"/>
      <c r="L1439" s="3"/>
      <c r="X1439" s="4"/>
    </row>
    <row r="1440" spans="2:37" x14ac:dyDescent="0.25">
      <c r="B1440" s="1"/>
      <c r="E1440" s="2"/>
      <c r="G1440" s="3"/>
      <c r="H1440" s="3"/>
      <c r="I1440" s="3"/>
      <c r="K1440" s="3"/>
      <c r="X1440" s="4"/>
    </row>
    <row r="1441" spans="2:37" x14ac:dyDescent="0.25">
      <c r="B1441" s="1"/>
      <c r="E1441" s="2"/>
      <c r="H1441" s="3"/>
      <c r="I1441" s="3"/>
      <c r="K1441" s="3"/>
      <c r="L1441" s="3"/>
      <c r="X1441" s="4"/>
      <c r="AB1441" s="3"/>
      <c r="AE1441" s="3"/>
      <c r="AK1441" s="5"/>
    </row>
    <row r="1442" spans="2:37" x14ac:dyDescent="0.25">
      <c r="B1442" s="1"/>
      <c r="E1442" s="2"/>
      <c r="H1442" s="3"/>
      <c r="I1442" s="3"/>
      <c r="K1442" s="3"/>
      <c r="L1442" s="3"/>
      <c r="X1442" s="4"/>
      <c r="AB1442" s="3"/>
      <c r="AE1442" s="3"/>
      <c r="AK1442" s="5"/>
    </row>
    <row r="1443" spans="2:37" x14ac:dyDescent="0.25">
      <c r="B1443" s="3"/>
      <c r="E1443" s="2"/>
      <c r="G1443" s="3"/>
      <c r="H1443" s="3"/>
      <c r="I1443" s="3"/>
      <c r="K1443" s="3"/>
      <c r="L1443" s="3"/>
      <c r="X1443" s="4"/>
      <c r="AB1443" s="3"/>
      <c r="AE1443" s="3"/>
      <c r="AK1443" s="5"/>
    </row>
    <row r="1444" spans="2:37" x14ac:dyDescent="0.25">
      <c r="B1444" s="1"/>
      <c r="E1444" s="2"/>
      <c r="H1444" s="3"/>
      <c r="I1444" s="3"/>
      <c r="K1444" s="3"/>
      <c r="L1444" s="3"/>
      <c r="X1444" s="4"/>
      <c r="AB1444" s="3"/>
      <c r="AE1444" s="3"/>
      <c r="AK1444" s="5"/>
    </row>
    <row r="1445" spans="2:37" x14ac:dyDescent="0.25">
      <c r="B1445" s="3"/>
      <c r="E1445" s="2"/>
      <c r="G1445" s="3"/>
      <c r="H1445" s="3"/>
      <c r="I1445" s="3"/>
      <c r="K1445" s="3"/>
      <c r="L1445" s="3"/>
      <c r="X1445" s="4"/>
      <c r="AA1445" s="3"/>
      <c r="AD1445" s="3"/>
      <c r="AE1445" s="3"/>
      <c r="AK1445" s="5"/>
    </row>
    <row r="1446" spans="2:37" x14ac:dyDescent="0.25">
      <c r="B1446" s="1"/>
      <c r="E1446" s="2"/>
      <c r="H1446" s="3"/>
      <c r="I1446" s="3"/>
      <c r="K1446" s="3"/>
      <c r="L1446" s="3"/>
      <c r="X1446" s="4"/>
      <c r="Z1446" s="3"/>
      <c r="AB1446" s="3"/>
      <c r="AE1446" s="3"/>
      <c r="AK1446" s="5"/>
    </row>
    <row r="1447" spans="2:37" x14ac:dyDescent="0.25">
      <c r="B1447" s="1"/>
      <c r="E1447" s="2"/>
      <c r="H1447" s="3"/>
      <c r="I1447" s="3"/>
      <c r="K1447" s="3"/>
      <c r="L1447" s="3"/>
      <c r="X1447" s="4"/>
      <c r="AB1447" s="3"/>
      <c r="AE1447" s="3"/>
      <c r="AK1447" s="5"/>
    </row>
    <row r="1448" spans="2:37" x14ac:dyDescent="0.25">
      <c r="B1448" s="1"/>
      <c r="E1448" s="2"/>
      <c r="H1448" s="3"/>
      <c r="I1448" s="3"/>
      <c r="K1448" s="3"/>
      <c r="L1448" s="3"/>
      <c r="X1448" s="4"/>
      <c r="AB1448" s="3"/>
      <c r="AD1448" s="3"/>
      <c r="AE1448" s="3"/>
      <c r="AK1448" s="5"/>
    </row>
    <row r="1449" spans="2:37" x14ac:dyDescent="0.25">
      <c r="B1449" s="1"/>
      <c r="D1449" s="3"/>
      <c r="E1449" s="2"/>
      <c r="H1449" s="3"/>
      <c r="I1449" s="3"/>
      <c r="K1449" s="3"/>
      <c r="L1449" s="3"/>
      <c r="X1449" s="4"/>
      <c r="AB1449" s="3"/>
      <c r="AD1449" s="3"/>
      <c r="AE1449" s="3"/>
      <c r="AK1449" s="5"/>
    </row>
    <row r="1450" spans="2:37" x14ac:dyDescent="0.25">
      <c r="B1450" s="1"/>
      <c r="E1450" s="2"/>
      <c r="F1450" s="3"/>
      <c r="G1450" s="3"/>
      <c r="H1450" s="3"/>
      <c r="I1450" s="3"/>
      <c r="K1450" s="3"/>
      <c r="L1450" s="3"/>
      <c r="X1450" s="4"/>
      <c r="AB1450" s="3"/>
      <c r="AD1450" s="3"/>
      <c r="AE1450" s="3"/>
      <c r="AK1450" s="5"/>
    </row>
    <row r="1451" spans="2:37" x14ac:dyDescent="0.25">
      <c r="B1451" s="1"/>
      <c r="D1451" s="3"/>
      <c r="E1451" s="2"/>
      <c r="G1451" s="3"/>
      <c r="H1451" s="3"/>
      <c r="I1451" s="3"/>
      <c r="K1451" s="3"/>
      <c r="L1451" s="3"/>
      <c r="X1451" s="4"/>
      <c r="Z1451" s="3"/>
      <c r="AA1451" s="3"/>
      <c r="AE1451" s="3"/>
      <c r="AK1451" s="5"/>
    </row>
    <row r="1452" spans="2:37" x14ac:dyDescent="0.25">
      <c r="B1452" s="1"/>
      <c r="E1452" s="2"/>
      <c r="G1452" s="3"/>
      <c r="H1452" s="3"/>
      <c r="I1452" s="3"/>
      <c r="K1452" s="3"/>
      <c r="L1452" s="3"/>
      <c r="X1452" s="4"/>
      <c r="AB1452" s="3"/>
      <c r="AE1452" s="3"/>
      <c r="AK1452" s="5"/>
    </row>
    <row r="1453" spans="2:37" x14ac:dyDescent="0.25">
      <c r="B1453" s="1"/>
      <c r="E1453" s="2"/>
      <c r="H1453" s="3"/>
      <c r="I1453" s="3"/>
      <c r="K1453" s="3"/>
      <c r="L1453" s="3"/>
      <c r="X1453" s="4"/>
    </row>
    <row r="1454" spans="2:37" x14ac:dyDescent="0.25">
      <c r="B1454" s="1"/>
      <c r="D1454" s="3"/>
      <c r="E1454" s="2"/>
      <c r="F1454" s="3"/>
      <c r="H1454" s="3"/>
      <c r="I1454" s="3"/>
      <c r="K1454" s="3"/>
      <c r="L1454" s="3"/>
      <c r="X1454" s="4"/>
      <c r="Z1454" s="3"/>
      <c r="AE1454" s="3"/>
      <c r="AK1454" s="5"/>
    </row>
    <row r="1455" spans="2:37" x14ac:dyDescent="0.25">
      <c r="B1455" s="1"/>
      <c r="E1455" s="2"/>
      <c r="H1455" s="3"/>
      <c r="I1455" s="3"/>
      <c r="K1455" s="3"/>
      <c r="L1455" s="3"/>
      <c r="X1455" s="4"/>
      <c r="AB1455" s="3"/>
      <c r="AE1455" s="3"/>
      <c r="AK1455" s="5"/>
    </row>
    <row r="1456" spans="2:37" x14ac:dyDescent="0.25">
      <c r="B1456" s="1"/>
      <c r="E1456" s="2"/>
      <c r="G1456" s="3"/>
      <c r="H1456" s="3"/>
      <c r="I1456" s="3"/>
      <c r="K1456" s="3"/>
      <c r="L1456" s="3"/>
      <c r="X1456" s="4"/>
      <c r="AA1456" s="3"/>
      <c r="AE1456" s="3"/>
      <c r="AK1456" s="5"/>
    </row>
    <row r="1457" spans="2:37" x14ac:dyDescent="0.25">
      <c r="B1457" s="1"/>
      <c r="E1457" s="2"/>
      <c r="H1457" s="3"/>
      <c r="I1457" s="3"/>
      <c r="K1457" s="3"/>
      <c r="L1457" s="3"/>
      <c r="X1457" s="4"/>
      <c r="Z1457" s="3"/>
      <c r="AB1457" s="3"/>
      <c r="AE1457" s="3"/>
      <c r="AK1457" s="5"/>
    </row>
    <row r="1458" spans="2:37" x14ac:dyDescent="0.25">
      <c r="B1458" s="1"/>
      <c r="E1458" s="2"/>
      <c r="G1458" s="3"/>
      <c r="H1458" s="3"/>
      <c r="I1458" s="3"/>
      <c r="K1458" s="3"/>
      <c r="L1458" s="3"/>
      <c r="X1458" s="4"/>
      <c r="Z1458" s="3"/>
      <c r="AB1458" s="3"/>
      <c r="AE1458" s="3"/>
      <c r="AK1458" s="5"/>
    </row>
    <row r="1459" spans="2:37" x14ac:dyDescent="0.25">
      <c r="B1459" s="1"/>
      <c r="D1459" s="3"/>
      <c r="E1459" s="2"/>
      <c r="G1459" s="3"/>
      <c r="H1459" s="3"/>
      <c r="I1459" s="3"/>
      <c r="K1459" s="3"/>
      <c r="L1459" s="3"/>
      <c r="X1459" s="4"/>
      <c r="Z1459" s="3"/>
      <c r="AD1459" s="3"/>
      <c r="AE1459" s="3"/>
      <c r="AK1459" s="5"/>
    </row>
    <row r="1460" spans="2:37" x14ac:dyDescent="0.25">
      <c r="B1460" s="1"/>
      <c r="E1460" s="2"/>
      <c r="G1460" s="3"/>
      <c r="H1460" s="3"/>
      <c r="I1460" s="3"/>
      <c r="K1460" s="3"/>
      <c r="X1460" s="4"/>
      <c r="AK1460" s="5"/>
    </row>
    <row r="1461" spans="2:37" x14ac:dyDescent="0.25">
      <c r="B1461" s="1"/>
      <c r="E1461" s="2"/>
      <c r="H1461" s="3"/>
      <c r="I1461" s="3"/>
      <c r="K1461" s="3"/>
      <c r="L1461" s="3"/>
      <c r="X1461" s="4"/>
    </row>
    <row r="1462" spans="2:37" x14ac:dyDescent="0.25">
      <c r="B1462" s="1"/>
      <c r="E1462" s="2"/>
      <c r="G1462" s="3"/>
      <c r="H1462" s="3"/>
      <c r="I1462" s="3"/>
      <c r="K1462" s="3"/>
      <c r="L1462" s="3"/>
      <c r="X1462" s="4"/>
      <c r="Z1462" s="3"/>
      <c r="AE1462" s="3"/>
      <c r="AK1462" s="5"/>
    </row>
    <row r="1463" spans="2:37" x14ac:dyDescent="0.25">
      <c r="B1463" s="1"/>
      <c r="E1463" s="2"/>
      <c r="F1463" s="3"/>
      <c r="G1463" s="3"/>
      <c r="H1463" s="3"/>
      <c r="I1463" s="3"/>
      <c r="K1463" s="3"/>
      <c r="L1463" s="3"/>
      <c r="X1463" s="4"/>
      <c r="AB1463" s="3"/>
      <c r="AE1463" s="3"/>
      <c r="AK1463" s="5"/>
    </row>
    <row r="1464" spans="2:37" x14ac:dyDescent="0.25">
      <c r="B1464" s="1"/>
      <c r="D1464" s="3"/>
      <c r="E1464" s="2"/>
      <c r="G1464" s="3"/>
      <c r="H1464" s="3"/>
      <c r="I1464" s="3"/>
      <c r="K1464" s="3"/>
      <c r="L1464" s="3"/>
      <c r="X1464" s="4"/>
    </row>
    <row r="1465" spans="2:37" x14ac:dyDescent="0.25">
      <c r="B1465" s="3"/>
      <c r="E1465" s="2"/>
      <c r="F1465" s="3"/>
      <c r="G1465" s="3"/>
      <c r="H1465" s="3"/>
      <c r="I1465" s="3"/>
      <c r="K1465" s="3"/>
      <c r="L1465" s="3"/>
      <c r="X1465" s="4"/>
      <c r="AE1465" s="3"/>
      <c r="AK1465" s="5"/>
    </row>
    <row r="1466" spans="2:37" x14ac:dyDescent="0.25">
      <c r="B1466" s="1"/>
      <c r="D1466" s="3"/>
      <c r="E1466" s="2"/>
      <c r="G1466" s="3"/>
      <c r="H1466" s="3"/>
      <c r="I1466" s="3"/>
      <c r="K1466" s="3"/>
      <c r="L1466" s="3"/>
      <c r="X1466" s="4"/>
      <c r="AD1466" s="3"/>
      <c r="AE1466" s="3"/>
      <c r="AK1466" s="5"/>
    </row>
    <row r="1467" spans="2:37" x14ac:dyDescent="0.25">
      <c r="B1467" s="3"/>
      <c r="E1467" s="2"/>
      <c r="G1467" s="3"/>
      <c r="H1467" s="3"/>
      <c r="I1467" s="3"/>
      <c r="K1467" s="3"/>
      <c r="L1467" s="3"/>
      <c r="X1467" s="4"/>
      <c r="Z1467" s="3"/>
      <c r="AB1467" s="3"/>
      <c r="AD1467" s="3"/>
      <c r="AE1467" s="3"/>
      <c r="AK1467" s="5"/>
    </row>
    <row r="1468" spans="2:37" x14ac:dyDescent="0.25">
      <c r="B1468" s="1"/>
      <c r="E1468" s="2"/>
      <c r="H1468" s="3"/>
      <c r="I1468" s="3"/>
      <c r="K1468" s="3"/>
      <c r="L1468" s="3"/>
      <c r="X1468" s="4"/>
      <c r="AD1468" s="3"/>
      <c r="AE1468" s="3"/>
      <c r="AK1468" s="5"/>
    </row>
    <row r="1469" spans="2:37" x14ac:dyDescent="0.25">
      <c r="B1469" s="1"/>
      <c r="D1469" s="3"/>
      <c r="E1469" s="2"/>
      <c r="G1469" s="3"/>
      <c r="H1469" s="3"/>
      <c r="I1469" s="3"/>
      <c r="K1469" s="3"/>
      <c r="L1469" s="3"/>
      <c r="X1469" s="4"/>
      <c r="AD1469" s="3"/>
      <c r="AE1469" s="3"/>
      <c r="AK1469" s="5"/>
    </row>
    <row r="1470" spans="2:37" x14ac:dyDescent="0.25">
      <c r="B1470" s="1"/>
      <c r="E1470" s="2"/>
      <c r="H1470" s="3"/>
      <c r="I1470" s="3"/>
      <c r="K1470" s="3"/>
      <c r="L1470" s="3"/>
      <c r="X1470" s="4"/>
      <c r="AD1470" s="3"/>
      <c r="AE1470" s="3"/>
      <c r="AK1470" s="5"/>
    </row>
    <row r="1471" spans="2:37" x14ac:dyDescent="0.25">
      <c r="B1471" s="1"/>
      <c r="D1471" s="3"/>
      <c r="E1471" s="2"/>
      <c r="G1471" s="3"/>
      <c r="H1471" s="3"/>
      <c r="I1471" s="3"/>
      <c r="K1471" s="3"/>
      <c r="L1471" s="3"/>
      <c r="X1471" s="4"/>
      <c r="AD1471" s="3"/>
      <c r="AE1471" s="3"/>
      <c r="AK1471" s="5"/>
    </row>
    <row r="1472" spans="2:37" x14ac:dyDescent="0.25">
      <c r="B1472" s="1"/>
      <c r="E1472" s="2"/>
      <c r="G1472" s="3"/>
      <c r="H1472" s="3"/>
      <c r="I1472" s="3"/>
      <c r="K1472" s="3"/>
      <c r="L1472" s="3"/>
      <c r="X1472" s="4"/>
      <c r="Z1472" s="3"/>
      <c r="AB1472" s="3"/>
      <c r="AD1472" s="3"/>
      <c r="AE1472" s="3"/>
      <c r="AK1472" s="5"/>
    </row>
    <row r="1473" spans="2:37" x14ac:dyDescent="0.25">
      <c r="B1473" s="1"/>
      <c r="E1473" s="2"/>
      <c r="G1473" s="3"/>
      <c r="H1473" s="3"/>
      <c r="I1473" s="3"/>
      <c r="K1473" s="3"/>
      <c r="L1473" s="3"/>
      <c r="X1473" s="4"/>
      <c r="AD1473" s="3"/>
      <c r="AE1473" s="3"/>
      <c r="AK1473" s="5"/>
    </row>
    <row r="1474" spans="2:37" x14ac:dyDescent="0.25">
      <c r="B1474" s="1"/>
      <c r="E1474" s="2"/>
      <c r="H1474" s="3"/>
      <c r="I1474" s="3"/>
      <c r="K1474" s="3"/>
      <c r="L1474" s="3"/>
      <c r="X1474" s="4"/>
      <c r="AD1474" s="3"/>
      <c r="AE1474" s="3"/>
      <c r="AK1474" s="5"/>
    </row>
    <row r="1475" spans="2:37" x14ac:dyDescent="0.25">
      <c r="B1475" s="1"/>
      <c r="E1475" s="2"/>
      <c r="G1475" s="3"/>
      <c r="H1475" s="3"/>
      <c r="I1475" s="3"/>
      <c r="K1475" s="3"/>
      <c r="L1475" s="3"/>
      <c r="X1475" s="4"/>
      <c r="AD1475" s="3"/>
      <c r="AE1475" s="3"/>
      <c r="AK1475" s="5"/>
    </row>
    <row r="1476" spans="2:37" x14ac:dyDescent="0.25">
      <c r="B1476" s="1"/>
      <c r="E1476" s="2"/>
      <c r="G1476" s="3"/>
      <c r="H1476" s="3"/>
      <c r="I1476" s="3"/>
      <c r="K1476" s="3"/>
      <c r="L1476" s="3"/>
      <c r="X1476" s="4"/>
      <c r="Z1476" s="3"/>
      <c r="AD1476" s="3"/>
      <c r="AE1476" s="3"/>
      <c r="AK1476" s="5"/>
    </row>
    <row r="1477" spans="2:37" x14ac:dyDescent="0.25">
      <c r="B1477" s="1"/>
      <c r="E1477" s="2"/>
      <c r="H1477" s="3"/>
      <c r="I1477" s="3"/>
      <c r="K1477" s="3"/>
      <c r="L1477" s="3"/>
      <c r="X1477" s="4"/>
      <c r="AD1477" s="3"/>
      <c r="AE1477" s="3"/>
      <c r="AK1477" s="5"/>
    </row>
    <row r="1478" spans="2:37" x14ac:dyDescent="0.25">
      <c r="B1478" s="1"/>
      <c r="E1478" s="2"/>
      <c r="G1478" s="3"/>
      <c r="H1478" s="3"/>
      <c r="I1478" s="3"/>
      <c r="K1478" s="3"/>
      <c r="L1478" s="3"/>
      <c r="X1478" s="4"/>
      <c r="Z1478" s="3"/>
      <c r="AD1478" s="3"/>
      <c r="AE1478" s="3"/>
      <c r="AK1478" s="5"/>
    </row>
    <row r="1479" spans="2:37" x14ac:dyDescent="0.25">
      <c r="B1479" s="1"/>
      <c r="D1479" s="3"/>
      <c r="E1479" s="2"/>
      <c r="G1479" s="3"/>
      <c r="H1479" s="3"/>
      <c r="I1479" s="3"/>
      <c r="K1479" s="3"/>
      <c r="L1479" s="3"/>
      <c r="X1479" s="4"/>
      <c r="AK1479" s="5"/>
    </row>
    <row r="1480" spans="2:37" x14ac:dyDescent="0.25">
      <c r="B1480" s="1"/>
      <c r="E1480" s="2"/>
      <c r="G1480" s="3"/>
      <c r="H1480" s="3"/>
      <c r="I1480" s="3"/>
      <c r="K1480" s="3"/>
      <c r="L1480" s="3"/>
      <c r="X1480" s="4"/>
      <c r="AE1480" s="3"/>
      <c r="AK1480" s="5"/>
    </row>
    <row r="1481" spans="2:37" x14ac:dyDescent="0.25">
      <c r="B1481" s="1"/>
      <c r="E1481" s="2"/>
      <c r="G1481" s="3"/>
      <c r="H1481" s="3"/>
      <c r="I1481" s="3"/>
      <c r="K1481" s="3"/>
      <c r="L1481" s="3"/>
      <c r="X1481" s="4"/>
      <c r="Z1481" s="3"/>
      <c r="AK1481" s="5"/>
    </row>
    <row r="1482" spans="2:37" x14ac:dyDescent="0.25">
      <c r="B1482" s="1"/>
      <c r="E1482" s="2"/>
      <c r="H1482" s="3"/>
      <c r="I1482" s="3"/>
      <c r="K1482" s="3"/>
      <c r="L1482" s="3"/>
      <c r="X1482" s="4"/>
      <c r="AD1482" s="3"/>
      <c r="AE1482" s="3"/>
      <c r="AK1482" s="5"/>
    </row>
    <row r="1483" spans="2:37" x14ac:dyDescent="0.25">
      <c r="B1483" s="1"/>
      <c r="E1483" s="2"/>
      <c r="G1483" s="3"/>
      <c r="H1483" s="3"/>
      <c r="I1483" s="3"/>
      <c r="K1483" s="3"/>
      <c r="L1483" s="3"/>
      <c r="X1483" s="4"/>
    </row>
    <row r="1484" spans="2:37" x14ac:dyDescent="0.25">
      <c r="B1484" s="1"/>
      <c r="D1484" s="3"/>
      <c r="E1484" s="2"/>
      <c r="G1484" s="3"/>
      <c r="X1484" s="4"/>
      <c r="AE1484" s="3"/>
      <c r="AK1484" s="5"/>
    </row>
    <row r="1485" spans="2:37" x14ac:dyDescent="0.25">
      <c r="B1485" s="1"/>
      <c r="E1485" s="2"/>
      <c r="H1485" s="3"/>
      <c r="I1485" s="3"/>
      <c r="K1485" s="3"/>
      <c r="L1485" s="3"/>
      <c r="X1485" s="4"/>
      <c r="AK1485" s="5"/>
    </row>
    <row r="1486" spans="2:37" x14ac:dyDescent="0.25">
      <c r="B1486" s="3"/>
      <c r="D1486" s="3"/>
      <c r="E1486" s="2"/>
      <c r="G1486" s="3"/>
      <c r="H1486" s="3"/>
      <c r="I1486" s="3"/>
      <c r="K1486" s="3"/>
      <c r="X1486" s="4"/>
      <c r="AK1486" s="5"/>
    </row>
    <row r="1487" spans="2:37" x14ac:dyDescent="0.25">
      <c r="B1487" s="1"/>
      <c r="E1487" s="2"/>
      <c r="H1487" s="3"/>
      <c r="I1487" s="3"/>
      <c r="K1487" s="3"/>
      <c r="L1487" s="3"/>
      <c r="X1487" s="4"/>
      <c r="AD1487" s="3"/>
      <c r="AE1487" s="3"/>
      <c r="AK1487" s="5"/>
    </row>
    <row r="1488" spans="2:37" x14ac:dyDescent="0.25">
      <c r="B1488" s="3"/>
      <c r="E1488" s="2"/>
      <c r="G1488" s="3"/>
      <c r="H1488" s="3"/>
      <c r="I1488" s="3"/>
      <c r="K1488" s="3"/>
      <c r="L1488" s="3"/>
      <c r="X1488" s="4"/>
      <c r="Z1488" s="3"/>
      <c r="AE1488" s="3"/>
      <c r="AK1488" s="5"/>
    </row>
    <row r="1489" spans="2:37" x14ac:dyDescent="0.25">
      <c r="B1489" s="1"/>
      <c r="E1489" s="2"/>
      <c r="H1489" s="3"/>
      <c r="I1489" s="3"/>
      <c r="K1489" s="3"/>
      <c r="L1489" s="3"/>
      <c r="X1489" s="4"/>
      <c r="Z1489" s="3"/>
      <c r="AE1489" s="3"/>
      <c r="AK1489" s="5"/>
    </row>
    <row r="1490" spans="2:37" x14ac:dyDescent="0.25">
      <c r="B1490" s="1"/>
      <c r="D1490" s="3"/>
      <c r="E1490" s="2"/>
      <c r="G1490" s="3"/>
      <c r="H1490" s="3"/>
      <c r="I1490" s="3"/>
      <c r="K1490" s="3"/>
      <c r="L1490" s="3"/>
      <c r="X1490" s="4"/>
      <c r="AB1490" s="3"/>
      <c r="AE1490" s="3"/>
      <c r="AK1490" s="5"/>
    </row>
    <row r="1491" spans="2:37" x14ac:dyDescent="0.25">
      <c r="B1491" s="1"/>
      <c r="D1491" s="3"/>
      <c r="E1491" s="2"/>
      <c r="G1491" s="3"/>
      <c r="H1491" s="3"/>
      <c r="I1491" s="3"/>
      <c r="K1491" s="3"/>
      <c r="L1491" s="3"/>
      <c r="X1491" s="4"/>
      <c r="AK1491" s="5"/>
    </row>
    <row r="1492" spans="2:37" x14ac:dyDescent="0.25">
      <c r="B1492" s="1"/>
      <c r="D1492" s="3"/>
      <c r="E1492" s="2"/>
      <c r="G1492" s="3"/>
      <c r="H1492" s="3"/>
      <c r="I1492" s="3"/>
      <c r="K1492" s="3"/>
      <c r="X1492" s="4"/>
      <c r="AE1492" s="3"/>
      <c r="AK1492" s="5"/>
    </row>
    <row r="1493" spans="2:37" x14ac:dyDescent="0.25">
      <c r="B1493" s="1"/>
      <c r="E1493" s="2"/>
      <c r="H1493" s="3"/>
      <c r="I1493" s="3"/>
      <c r="K1493" s="3"/>
      <c r="L1493" s="3"/>
      <c r="X1493" s="4"/>
      <c r="AE1493" s="3"/>
      <c r="AK1493" s="5"/>
    </row>
    <row r="1494" spans="2:37" x14ac:dyDescent="0.25">
      <c r="B1494" s="1"/>
      <c r="D1494" s="3"/>
      <c r="E1494" s="2"/>
      <c r="G1494" s="3"/>
      <c r="H1494" s="3"/>
      <c r="I1494" s="3"/>
      <c r="K1494" s="3"/>
      <c r="L1494" s="3"/>
      <c r="X1494" s="4"/>
      <c r="Z1494" s="3"/>
      <c r="AE1494" s="3"/>
      <c r="AK1494" s="5"/>
    </row>
    <row r="1495" spans="2:37" x14ac:dyDescent="0.25">
      <c r="B1495" s="1"/>
      <c r="D1495" s="3"/>
      <c r="E1495" s="2"/>
      <c r="G1495" s="3"/>
      <c r="H1495" s="3"/>
      <c r="I1495" s="3"/>
      <c r="K1495" s="3"/>
      <c r="L1495" s="3"/>
      <c r="X1495" s="4"/>
      <c r="Z1495" s="3"/>
      <c r="AE1495" s="3"/>
      <c r="AK1495" s="5"/>
    </row>
    <row r="1496" spans="2:37" x14ac:dyDescent="0.25">
      <c r="B1496" s="1"/>
      <c r="E1496" s="2"/>
      <c r="G1496" s="3"/>
      <c r="H1496" s="3"/>
      <c r="I1496" s="3"/>
      <c r="K1496" s="3"/>
      <c r="L1496" s="3"/>
      <c r="X1496" s="4"/>
      <c r="Z1496" s="3"/>
      <c r="AE1496" s="3"/>
      <c r="AK1496" s="5"/>
    </row>
    <row r="1497" spans="2:37" x14ac:dyDescent="0.25">
      <c r="B1497" s="1"/>
      <c r="D1497" s="3"/>
      <c r="E1497" s="2"/>
      <c r="G1497" s="3"/>
      <c r="H1497" s="3"/>
      <c r="I1497" s="3"/>
      <c r="K1497" s="3"/>
      <c r="L1497" s="3"/>
      <c r="X1497" s="4"/>
    </row>
    <row r="1498" spans="2:37" x14ac:dyDescent="0.25">
      <c r="B1498" s="1"/>
      <c r="E1498" s="2"/>
      <c r="G1498" s="3"/>
      <c r="H1498" s="3"/>
      <c r="I1498" s="3"/>
      <c r="K1498" s="3"/>
      <c r="L1498" s="3"/>
      <c r="X1498" s="4"/>
    </row>
    <row r="1499" spans="2:37" x14ac:dyDescent="0.25">
      <c r="B1499" s="1"/>
      <c r="D1499" s="3"/>
      <c r="E1499" s="2"/>
      <c r="G1499" s="3"/>
      <c r="H1499" s="3"/>
      <c r="I1499" s="3"/>
      <c r="K1499" s="3"/>
      <c r="L1499" s="3"/>
      <c r="X1499" s="4"/>
      <c r="AE1499" s="3"/>
      <c r="AK1499" s="5"/>
    </row>
    <row r="1500" spans="2:37" x14ac:dyDescent="0.25">
      <c r="B1500" s="1"/>
      <c r="E1500" s="2"/>
      <c r="G1500" s="3"/>
      <c r="H1500" s="3"/>
      <c r="I1500" s="3"/>
      <c r="K1500" s="3"/>
      <c r="L1500" s="3"/>
      <c r="X1500" s="4"/>
      <c r="Z1500" s="3"/>
      <c r="AE1500" s="3"/>
      <c r="AK1500" s="5"/>
    </row>
    <row r="1501" spans="2:37" x14ac:dyDescent="0.25">
      <c r="B1501" s="1"/>
      <c r="E1501" s="2"/>
      <c r="G1501" s="3"/>
      <c r="H1501" s="3"/>
      <c r="I1501" s="3"/>
      <c r="K1501" s="3"/>
      <c r="L1501" s="3"/>
      <c r="X1501" s="4"/>
      <c r="Z1501" s="3"/>
      <c r="AB1501" s="3"/>
      <c r="AE1501" s="3"/>
      <c r="AK1501" s="5"/>
    </row>
    <row r="1502" spans="2:37" x14ac:dyDescent="0.25">
      <c r="B1502" s="1"/>
      <c r="E1502" s="2"/>
      <c r="G1502" s="3"/>
      <c r="H1502" s="3"/>
      <c r="I1502" s="3"/>
      <c r="K1502" s="3"/>
      <c r="L1502" s="3"/>
      <c r="X1502" s="4"/>
      <c r="Z1502" s="3"/>
      <c r="AB1502" s="3"/>
      <c r="AE1502" s="3"/>
      <c r="AK1502" s="5"/>
    </row>
    <row r="1503" spans="2:37" x14ac:dyDescent="0.25">
      <c r="B1503" s="1"/>
      <c r="E1503" s="2"/>
      <c r="H1503" s="3"/>
      <c r="I1503" s="3"/>
      <c r="K1503" s="3"/>
      <c r="L1503" s="3"/>
      <c r="X1503" s="4"/>
      <c r="AK1503" s="5"/>
    </row>
    <row r="1504" spans="2:37" x14ac:dyDescent="0.25">
      <c r="B1504" s="1"/>
      <c r="E1504" s="2"/>
      <c r="G1504" s="3"/>
      <c r="H1504" s="3"/>
      <c r="I1504" s="3"/>
      <c r="K1504" s="3"/>
      <c r="X1504" s="4"/>
      <c r="AK1504" s="5"/>
    </row>
    <row r="1505" spans="2:37" x14ac:dyDescent="0.25">
      <c r="B1505" s="1"/>
      <c r="E1505" s="2"/>
      <c r="G1505" s="3"/>
      <c r="H1505" s="3"/>
      <c r="I1505" s="3"/>
      <c r="K1505" s="3"/>
      <c r="L1505" s="3"/>
      <c r="X1505" s="4"/>
      <c r="AE1505" s="3"/>
      <c r="AK1505" s="5"/>
    </row>
    <row r="1506" spans="2:37" x14ac:dyDescent="0.25">
      <c r="B1506" s="1"/>
      <c r="D1506" s="3"/>
      <c r="E1506" s="2"/>
      <c r="G1506" s="3"/>
      <c r="H1506" s="3"/>
      <c r="I1506" s="3"/>
      <c r="K1506" s="3"/>
      <c r="X1506" s="4"/>
      <c r="AE1506" s="3"/>
      <c r="AK1506" s="5"/>
    </row>
    <row r="1507" spans="2:37" x14ac:dyDescent="0.25">
      <c r="B1507" s="1"/>
      <c r="E1507" s="2"/>
      <c r="H1507" s="3"/>
      <c r="I1507" s="3"/>
      <c r="K1507" s="3"/>
      <c r="L1507" s="3"/>
      <c r="X1507" s="4"/>
      <c r="AE1507" s="3"/>
      <c r="AK1507" s="5"/>
    </row>
    <row r="1508" spans="2:37" x14ac:dyDescent="0.25">
      <c r="B1508" s="1"/>
      <c r="E1508" s="2"/>
      <c r="F1508" s="3"/>
      <c r="G1508" s="3"/>
      <c r="H1508" s="3"/>
      <c r="I1508" s="3"/>
      <c r="K1508" s="3"/>
      <c r="L1508" s="3"/>
      <c r="X1508" s="4"/>
      <c r="AB1508" s="3"/>
      <c r="AE1508" s="3"/>
      <c r="AK1508" s="5"/>
    </row>
    <row r="1509" spans="2:37" x14ac:dyDescent="0.25">
      <c r="B1509" s="1"/>
      <c r="E1509" s="2"/>
      <c r="H1509" s="3"/>
      <c r="I1509" s="3"/>
      <c r="K1509" s="3"/>
      <c r="L1509" s="3"/>
      <c r="X1509" s="4"/>
      <c r="Z1509" s="3"/>
      <c r="AE1509" s="3"/>
      <c r="AK1509" s="5"/>
    </row>
    <row r="1510" spans="2:37" x14ac:dyDescent="0.25">
      <c r="B1510" s="1"/>
      <c r="E1510" s="2"/>
      <c r="G1510" s="3"/>
      <c r="H1510" s="3"/>
      <c r="I1510" s="3"/>
      <c r="K1510" s="3"/>
      <c r="X1510" s="4"/>
      <c r="AK1510" s="5"/>
    </row>
    <row r="1511" spans="2:37" x14ac:dyDescent="0.25">
      <c r="B1511" s="1"/>
      <c r="E1511" s="2"/>
      <c r="H1511" s="3"/>
      <c r="I1511" s="3"/>
      <c r="K1511" s="3"/>
      <c r="L1511" s="3"/>
      <c r="X1511" s="4"/>
      <c r="AK1511" s="5"/>
    </row>
    <row r="1512" spans="2:37" x14ac:dyDescent="0.25">
      <c r="B1512" s="1"/>
      <c r="E1512" s="2"/>
      <c r="G1512" s="3"/>
      <c r="H1512" s="3"/>
      <c r="I1512" s="3"/>
      <c r="K1512" s="3"/>
      <c r="L1512" s="3"/>
      <c r="X1512" s="4"/>
      <c r="AB1512" s="3"/>
      <c r="AE1512" s="3"/>
      <c r="AK1512" s="5"/>
    </row>
    <row r="1513" spans="2:37" x14ac:dyDescent="0.25">
      <c r="B1513" s="1"/>
      <c r="E1513" s="2"/>
      <c r="H1513" s="3"/>
      <c r="I1513" s="3"/>
      <c r="K1513" s="3"/>
      <c r="L1513" s="3"/>
      <c r="X1513" s="4"/>
      <c r="AB1513" s="3"/>
      <c r="AE1513" s="3"/>
      <c r="AK1513" s="5"/>
    </row>
    <row r="1514" spans="2:37" x14ac:dyDescent="0.25">
      <c r="B1514" s="1"/>
      <c r="E1514" s="2"/>
      <c r="F1514" s="3"/>
      <c r="G1514" s="3"/>
      <c r="H1514" s="3"/>
      <c r="I1514" s="3"/>
      <c r="K1514" s="3"/>
      <c r="X1514" s="4"/>
      <c r="AK1514" s="5"/>
    </row>
    <row r="1515" spans="2:37" x14ac:dyDescent="0.25">
      <c r="B1515" s="1"/>
      <c r="E1515" s="2"/>
      <c r="H1515" s="3"/>
      <c r="I1515" s="3"/>
      <c r="K1515" s="3"/>
      <c r="L1515" s="3"/>
      <c r="X1515" s="4"/>
    </row>
    <row r="1516" spans="2:37" x14ac:dyDescent="0.25">
      <c r="B1516" s="3"/>
      <c r="E1516" s="2"/>
      <c r="F1516" s="3"/>
      <c r="G1516" s="3"/>
      <c r="X1516" s="4"/>
    </row>
    <row r="1517" spans="2:37" x14ac:dyDescent="0.25">
      <c r="B1517" s="1"/>
      <c r="E1517" s="2"/>
      <c r="H1517" s="3"/>
      <c r="I1517" s="3"/>
      <c r="K1517" s="3"/>
      <c r="L1517" s="3"/>
      <c r="X1517" s="4"/>
      <c r="AB1517" s="3"/>
      <c r="AE1517" s="3"/>
      <c r="AK1517" s="5"/>
    </row>
    <row r="1518" spans="2:37" x14ac:dyDescent="0.25">
      <c r="B1518" s="3"/>
      <c r="E1518" s="2"/>
      <c r="G1518" s="3"/>
      <c r="H1518" s="3"/>
      <c r="I1518" s="3"/>
      <c r="K1518" s="3"/>
      <c r="L1518" s="3"/>
      <c r="X1518" s="4"/>
    </row>
    <row r="1519" spans="2:37" x14ac:dyDescent="0.25">
      <c r="B1519" s="1"/>
      <c r="D1519" s="3"/>
      <c r="E1519" s="2"/>
      <c r="G1519" s="3"/>
      <c r="H1519" s="3"/>
      <c r="I1519" s="3"/>
      <c r="K1519" s="3"/>
      <c r="L1519" s="3"/>
      <c r="X1519" s="4"/>
    </row>
    <row r="1520" spans="2:37" x14ac:dyDescent="0.25">
      <c r="B1520" s="3"/>
      <c r="E1520" s="2"/>
      <c r="G1520" s="3"/>
      <c r="H1520" s="3"/>
      <c r="I1520" s="3"/>
      <c r="K1520" s="3"/>
      <c r="L1520" s="3"/>
      <c r="X1520" s="4"/>
      <c r="AB1520" s="3"/>
      <c r="AE1520" s="3"/>
      <c r="AK1520" s="5"/>
    </row>
    <row r="1521" spans="2:37" x14ac:dyDescent="0.25">
      <c r="B1521" s="1"/>
      <c r="D1521" s="3"/>
      <c r="E1521" s="2"/>
      <c r="G1521" s="3"/>
      <c r="H1521" s="3"/>
      <c r="I1521" s="3"/>
      <c r="K1521" s="3"/>
      <c r="L1521" s="3"/>
      <c r="X1521" s="4"/>
    </row>
    <row r="1522" spans="2:37" x14ac:dyDescent="0.25">
      <c r="B1522" s="1"/>
      <c r="E1522" s="2"/>
      <c r="F1522" s="3"/>
      <c r="G1522" s="3"/>
      <c r="H1522" s="3"/>
      <c r="I1522" s="3"/>
      <c r="K1522" s="3"/>
      <c r="L1522" s="3"/>
      <c r="X1522" s="4"/>
      <c r="Z1522" s="3"/>
      <c r="AE1522" s="3"/>
      <c r="AK1522" s="5"/>
    </row>
    <row r="1523" spans="2:37" x14ac:dyDescent="0.25">
      <c r="B1523" s="1"/>
      <c r="E1523" s="2"/>
      <c r="G1523" s="3"/>
      <c r="H1523" s="3"/>
      <c r="I1523" s="3"/>
      <c r="K1523" s="3"/>
      <c r="L1523" s="3"/>
      <c r="X1523" s="4"/>
      <c r="AA1523" s="3"/>
      <c r="AE1523" s="3"/>
      <c r="AK1523" s="5"/>
    </row>
    <row r="1524" spans="2:37" x14ac:dyDescent="0.25">
      <c r="B1524" s="1"/>
      <c r="E1524" s="2"/>
      <c r="F1524" s="3"/>
      <c r="G1524" s="3"/>
      <c r="H1524" s="3"/>
      <c r="I1524" s="3"/>
      <c r="K1524" s="3"/>
      <c r="X1524" s="4"/>
    </row>
    <row r="1525" spans="2:37" x14ac:dyDescent="0.25">
      <c r="B1525" s="1"/>
      <c r="E1525" s="2"/>
      <c r="G1525" s="3"/>
      <c r="H1525" s="3"/>
      <c r="I1525" s="3"/>
      <c r="K1525" s="3"/>
      <c r="L1525" s="3"/>
      <c r="X1525" s="4"/>
      <c r="AB1525" s="3"/>
      <c r="AE1525" s="3"/>
      <c r="AK1525" s="5"/>
    </row>
    <row r="1526" spans="2:37" x14ac:dyDescent="0.25">
      <c r="B1526" s="1"/>
      <c r="E1526" s="2"/>
      <c r="G1526" s="3"/>
      <c r="H1526" s="3"/>
      <c r="I1526" s="3"/>
      <c r="K1526" s="3"/>
      <c r="L1526" s="3"/>
      <c r="X1526" s="4"/>
    </row>
    <row r="1527" spans="2:37" x14ac:dyDescent="0.25">
      <c r="B1527" s="1"/>
      <c r="D1527" s="3"/>
      <c r="E1527" s="2"/>
      <c r="G1527" s="3"/>
      <c r="H1527" s="3"/>
      <c r="I1527" s="3"/>
      <c r="K1527" s="3"/>
      <c r="L1527" s="3"/>
      <c r="X1527" s="4"/>
    </row>
    <row r="1528" spans="2:37" x14ac:dyDescent="0.25">
      <c r="B1528" s="1"/>
      <c r="D1528" s="3"/>
      <c r="E1528" s="2"/>
      <c r="G1528" s="3"/>
      <c r="H1528" s="3"/>
      <c r="I1528" s="3"/>
      <c r="K1528" s="3"/>
      <c r="L1528" s="3"/>
      <c r="X1528" s="4"/>
      <c r="AA1528" s="3"/>
      <c r="AE1528" s="3"/>
      <c r="AK1528" s="5"/>
    </row>
    <row r="1529" spans="2:37" x14ac:dyDescent="0.25">
      <c r="B1529" s="1"/>
      <c r="D1529" s="3"/>
      <c r="E1529" s="2"/>
      <c r="G1529" s="3"/>
      <c r="H1529" s="3"/>
      <c r="I1529" s="3"/>
      <c r="K1529" s="3"/>
      <c r="L1529" s="3"/>
      <c r="X1529" s="4"/>
      <c r="AE1529" s="3"/>
      <c r="AK1529" s="5"/>
    </row>
    <row r="1530" spans="2:37" x14ac:dyDescent="0.25">
      <c r="B1530" s="1"/>
      <c r="E1530" s="2"/>
      <c r="G1530" s="3"/>
      <c r="H1530" s="3"/>
      <c r="I1530" s="3"/>
      <c r="K1530" s="3"/>
      <c r="L1530" s="3"/>
      <c r="X1530" s="4"/>
      <c r="Z1530" s="3"/>
      <c r="AB1530" s="3"/>
      <c r="AE1530" s="3"/>
      <c r="AK1530" s="5"/>
    </row>
    <row r="1531" spans="2:37" x14ac:dyDescent="0.25">
      <c r="B1531" s="1"/>
      <c r="E1531" s="2"/>
      <c r="H1531" s="3"/>
      <c r="I1531" s="3"/>
      <c r="K1531" s="3"/>
      <c r="L1531" s="3"/>
      <c r="X1531" s="4"/>
      <c r="Z1531" s="3"/>
      <c r="AA1531" s="3"/>
      <c r="AE1531" s="3"/>
      <c r="AK1531" s="5"/>
    </row>
    <row r="1532" spans="2:37" x14ac:dyDescent="0.25">
      <c r="B1532" s="1"/>
      <c r="E1532" s="2"/>
      <c r="G1532" s="3"/>
      <c r="H1532" s="3"/>
      <c r="I1532" s="3"/>
      <c r="K1532" s="3"/>
      <c r="L1532" s="3"/>
      <c r="X1532" s="4"/>
    </row>
    <row r="1533" spans="2:37" x14ac:dyDescent="0.25">
      <c r="B1533" s="1"/>
      <c r="E1533" s="2"/>
      <c r="G1533" s="3"/>
      <c r="H1533" s="3"/>
      <c r="I1533" s="3"/>
      <c r="K1533" s="3"/>
      <c r="X1533" s="4"/>
    </row>
    <row r="1534" spans="2:37" x14ac:dyDescent="0.25">
      <c r="B1534" s="1"/>
      <c r="E1534" s="2"/>
      <c r="G1534" s="3"/>
      <c r="H1534" s="3"/>
      <c r="I1534" s="3"/>
      <c r="K1534" s="3"/>
      <c r="L1534" s="3"/>
      <c r="X1534" s="4"/>
      <c r="AA1534" s="3"/>
      <c r="AE1534" s="3"/>
      <c r="AK1534" s="5"/>
    </row>
    <row r="1535" spans="2:37" x14ac:dyDescent="0.25">
      <c r="B1535" s="1"/>
      <c r="E1535" s="2"/>
      <c r="H1535" s="3"/>
      <c r="I1535" s="3"/>
      <c r="K1535" s="3"/>
      <c r="X1535" s="4"/>
      <c r="AK1535" s="5"/>
    </row>
    <row r="1536" spans="2:37" x14ac:dyDescent="0.25">
      <c r="B1536" s="1"/>
      <c r="E1536" s="2"/>
      <c r="G1536" s="3"/>
      <c r="H1536" s="3"/>
      <c r="I1536" s="3"/>
      <c r="K1536" s="3"/>
      <c r="L1536" s="3"/>
      <c r="X1536" s="4"/>
      <c r="Z1536" s="3"/>
      <c r="AA1536" s="3"/>
      <c r="AB1536" s="3"/>
      <c r="AE1536" s="3"/>
      <c r="AK1536" s="5"/>
    </row>
    <row r="1537" spans="2:37" x14ac:dyDescent="0.25">
      <c r="B1537" s="1"/>
      <c r="E1537" s="2"/>
      <c r="H1537" s="3"/>
      <c r="I1537" s="3"/>
      <c r="K1537" s="3"/>
      <c r="L1537" s="3"/>
      <c r="X1537" s="4"/>
      <c r="AD1537" s="3"/>
      <c r="AE1537" s="3"/>
      <c r="AK1537" s="5"/>
    </row>
    <row r="1538" spans="2:37" x14ac:dyDescent="0.25">
      <c r="B1538" s="1"/>
      <c r="E1538" s="2"/>
      <c r="G1538" s="3"/>
      <c r="H1538" s="3"/>
      <c r="I1538" s="3"/>
      <c r="K1538" s="3"/>
      <c r="L1538" s="3"/>
      <c r="X1538" s="4"/>
      <c r="AB1538" s="3"/>
      <c r="AE1538" s="3"/>
      <c r="AK1538" s="5"/>
    </row>
    <row r="1539" spans="2:37" x14ac:dyDescent="0.25">
      <c r="B1539" s="1"/>
      <c r="E1539" s="2"/>
      <c r="H1539" s="3"/>
      <c r="I1539" s="3"/>
      <c r="K1539" s="3"/>
      <c r="L1539" s="3"/>
      <c r="X1539" s="4"/>
      <c r="Z1539" s="3"/>
      <c r="AE1539" s="3"/>
      <c r="AK1539" s="5"/>
    </row>
    <row r="1540" spans="2:37" x14ac:dyDescent="0.25">
      <c r="B1540" s="1"/>
      <c r="E1540" s="2"/>
      <c r="H1540" s="3"/>
      <c r="I1540" s="3"/>
      <c r="K1540" s="3"/>
      <c r="L1540" s="3"/>
      <c r="X1540" s="4"/>
      <c r="Z1540" s="3"/>
      <c r="AE1540" s="3"/>
      <c r="AK1540" s="5"/>
    </row>
    <row r="1541" spans="2:37" x14ac:dyDescent="0.25">
      <c r="B1541" s="1"/>
      <c r="E1541" s="2"/>
      <c r="G1541" s="3"/>
      <c r="H1541" s="3"/>
      <c r="I1541" s="3"/>
      <c r="K1541" s="3"/>
      <c r="L1541" s="3"/>
      <c r="X1541" s="4"/>
      <c r="Z1541" s="3"/>
      <c r="AB1541" s="3"/>
      <c r="AE1541" s="3"/>
      <c r="AK1541" s="5"/>
    </row>
    <row r="1542" spans="2:37" x14ac:dyDescent="0.25">
      <c r="B1542" s="1"/>
      <c r="E1542" s="2"/>
      <c r="H1542" s="3"/>
      <c r="I1542" s="3"/>
      <c r="K1542" s="3"/>
      <c r="L1542" s="3"/>
      <c r="X1542" s="4"/>
      <c r="Z1542" s="3"/>
      <c r="AD1542" s="3"/>
      <c r="AE1542" s="3"/>
      <c r="AK1542" s="5"/>
    </row>
    <row r="1543" spans="2:37" x14ac:dyDescent="0.25">
      <c r="B1543" s="1"/>
      <c r="E1543" s="2"/>
      <c r="H1543" s="3"/>
      <c r="I1543" s="3"/>
      <c r="K1543" s="3"/>
      <c r="L1543" s="3"/>
      <c r="X1543" s="4"/>
      <c r="Z1543" s="3"/>
      <c r="AE1543" s="3"/>
      <c r="AK1543" s="5"/>
    </row>
    <row r="1544" spans="2:37" x14ac:dyDescent="0.25">
      <c r="B1544" s="1"/>
      <c r="D1544" s="3"/>
      <c r="E1544" s="2"/>
      <c r="G1544" s="3"/>
      <c r="H1544" s="3"/>
      <c r="I1544" s="3"/>
      <c r="K1544" s="3"/>
      <c r="L1544" s="3"/>
      <c r="X1544" s="4"/>
      <c r="AB1544" s="3"/>
      <c r="AE1544" s="3"/>
      <c r="AK1544" s="5"/>
    </row>
    <row r="1545" spans="2:37" x14ac:dyDescent="0.25">
      <c r="B1545" s="1"/>
      <c r="E1545" s="2"/>
      <c r="H1545" s="3"/>
      <c r="I1545" s="3"/>
      <c r="K1545" s="3"/>
      <c r="L1545" s="3"/>
      <c r="X1545" s="4"/>
      <c r="Z1545" s="3"/>
      <c r="AD1545" s="3"/>
      <c r="AE1545" s="3"/>
      <c r="AK1545" s="5"/>
    </row>
    <row r="1546" spans="2:37" x14ac:dyDescent="0.25">
      <c r="B1546" s="1"/>
      <c r="E1546" s="2"/>
      <c r="G1546" s="3"/>
      <c r="H1546" s="3"/>
      <c r="I1546" s="3"/>
      <c r="K1546" s="3"/>
      <c r="L1546" s="3"/>
      <c r="X1546" s="4"/>
      <c r="Z1546" s="3"/>
      <c r="AB1546" s="3"/>
      <c r="AE1546" s="3"/>
      <c r="AK1546" s="5"/>
    </row>
    <row r="1547" spans="2:37" x14ac:dyDescent="0.25">
      <c r="B1547" s="1"/>
      <c r="E1547" s="2"/>
      <c r="H1547" s="3"/>
      <c r="I1547" s="3"/>
      <c r="K1547" s="3"/>
      <c r="L1547" s="3"/>
      <c r="X1547" s="4"/>
      <c r="AK1547" s="5"/>
    </row>
    <row r="1548" spans="2:37" x14ac:dyDescent="0.25">
      <c r="B1548" s="1"/>
      <c r="E1548" s="2"/>
      <c r="G1548" s="3"/>
      <c r="H1548" s="3"/>
      <c r="I1548" s="3"/>
      <c r="K1548" s="3"/>
      <c r="L1548" s="3"/>
      <c r="X1548" s="4"/>
      <c r="Z1548" s="3"/>
      <c r="AE1548" s="3"/>
      <c r="AK1548" s="5"/>
    </row>
    <row r="1549" spans="2:37" x14ac:dyDescent="0.25">
      <c r="B1549" s="1"/>
      <c r="E1549" s="2"/>
      <c r="H1549" s="3"/>
      <c r="I1549" s="3"/>
      <c r="K1549" s="3"/>
      <c r="L1549" s="3"/>
      <c r="X1549" s="4"/>
      <c r="Z1549" s="3"/>
      <c r="AE1549" s="3"/>
      <c r="AK1549" s="5"/>
    </row>
    <row r="1550" spans="2:37" x14ac:dyDescent="0.25">
      <c r="B1550" s="1"/>
      <c r="E1550" s="2"/>
      <c r="G1550" s="3"/>
      <c r="H1550" s="3"/>
      <c r="I1550" s="3"/>
      <c r="K1550" s="3"/>
      <c r="L1550" s="3"/>
      <c r="X1550" s="4"/>
      <c r="AD1550" s="3"/>
      <c r="AE1550" s="3"/>
      <c r="AK1550" s="5"/>
    </row>
    <row r="1551" spans="2:37" x14ac:dyDescent="0.25">
      <c r="B1551" s="1"/>
      <c r="E1551" s="2"/>
      <c r="H1551" s="3"/>
      <c r="I1551" s="3"/>
      <c r="K1551" s="3"/>
      <c r="L1551" s="3"/>
      <c r="X1551" s="4"/>
      <c r="Z1551" s="3"/>
      <c r="AB1551" s="3"/>
      <c r="AE1551" s="3"/>
      <c r="AK1551" s="5"/>
    </row>
    <row r="1552" spans="2:37" x14ac:dyDescent="0.25">
      <c r="B1552" s="1"/>
      <c r="D1552" s="3"/>
      <c r="E1552" s="2"/>
      <c r="G1552" s="3"/>
      <c r="H1552" s="3"/>
      <c r="I1552" s="3"/>
      <c r="K1552" s="3"/>
      <c r="L1552" s="3"/>
      <c r="X1552" s="4"/>
      <c r="Z1552" s="3"/>
      <c r="AE1552" s="3"/>
    </row>
    <row r="1553" spans="2:37" x14ac:dyDescent="0.25">
      <c r="B1553" s="1"/>
      <c r="E1553" s="2"/>
      <c r="G1553" s="3"/>
      <c r="H1553" s="3"/>
      <c r="I1553" s="3"/>
      <c r="K1553" s="3"/>
      <c r="X1553" s="4"/>
      <c r="AK1553" s="5"/>
    </row>
    <row r="1554" spans="2:37" x14ac:dyDescent="0.25">
      <c r="B1554" s="1"/>
      <c r="E1554" s="2"/>
      <c r="H1554" s="3"/>
      <c r="I1554" s="3"/>
      <c r="K1554" s="3"/>
      <c r="L1554" s="3"/>
      <c r="X1554" s="4"/>
      <c r="AB1554" s="3"/>
      <c r="AE1554" s="3"/>
      <c r="AK1554" s="5"/>
    </row>
    <row r="1555" spans="2:37" x14ac:dyDescent="0.25">
      <c r="B1555" s="1"/>
      <c r="E1555" s="2"/>
      <c r="G1555" s="3"/>
      <c r="H1555" s="3"/>
      <c r="I1555" s="3"/>
      <c r="K1555" s="3"/>
      <c r="L1555" s="3"/>
      <c r="X1555" s="4"/>
      <c r="Z1555" s="3"/>
      <c r="AB1555" s="3"/>
      <c r="AE1555" s="3"/>
      <c r="AK1555" s="5"/>
    </row>
    <row r="1556" spans="2:37" x14ac:dyDescent="0.25">
      <c r="B1556" s="1"/>
      <c r="E1556" s="2"/>
      <c r="H1556" s="3"/>
      <c r="I1556" s="3"/>
      <c r="K1556" s="3"/>
      <c r="L1556" s="3"/>
      <c r="X1556" s="4"/>
      <c r="Z1556" s="3"/>
      <c r="AB1556" s="3"/>
      <c r="AE1556" s="3"/>
      <c r="AK1556" s="5"/>
    </row>
    <row r="1557" spans="2:37" x14ac:dyDescent="0.25">
      <c r="B1557" s="1"/>
      <c r="E1557" s="2"/>
      <c r="F1557" s="3"/>
      <c r="G1557" s="3"/>
      <c r="H1557" s="3"/>
      <c r="I1557" s="3"/>
      <c r="K1557" s="3"/>
      <c r="L1557" s="3"/>
      <c r="X1557" s="4"/>
      <c r="Z1557" s="3"/>
      <c r="AE1557" s="3"/>
      <c r="AK1557" s="5"/>
    </row>
    <row r="1558" spans="2:37" x14ac:dyDescent="0.25">
      <c r="B1558" s="1"/>
      <c r="E1558" s="2"/>
      <c r="H1558" s="3"/>
      <c r="I1558" s="3"/>
      <c r="K1558" s="3"/>
      <c r="L1558" s="3"/>
      <c r="X1558" s="4"/>
      <c r="Z1558" s="3"/>
      <c r="AB1558" s="3"/>
      <c r="AE1558" s="3"/>
      <c r="AK1558" s="5"/>
    </row>
    <row r="1559" spans="2:37" x14ac:dyDescent="0.25">
      <c r="B1559" s="1"/>
      <c r="C1559" s="3"/>
      <c r="E1559" s="2"/>
      <c r="G1559" s="3"/>
      <c r="H1559" s="3"/>
      <c r="I1559" s="3"/>
      <c r="K1559" s="3"/>
      <c r="L1559" s="3"/>
      <c r="X1559" s="4"/>
      <c r="AB1559" s="3"/>
      <c r="AE1559" s="3"/>
      <c r="AK1559" s="5"/>
    </row>
    <row r="1560" spans="2:37" x14ac:dyDescent="0.25">
      <c r="B1560" s="1"/>
      <c r="C1560" s="3"/>
      <c r="E1560" s="2"/>
      <c r="G1560" s="3"/>
      <c r="H1560" s="3"/>
      <c r="I1560" s="3"/>
      <c r="K1560" s="3"/>
      <c r="L1560" s="3"/>
      <c r="X1560" s="4"/>
      <c r="Z1560" s="3"/>
      <c r="AA1560" s="3"/>
      <c r="AE1560" s="3"/>
      <c r="AK1560" s="5"/>
    </row>
    <row r="1561" spans="2:37" x14ac:dyDescent="0.25">
      <c r="B1561" s="1"/>
      <c r="E1561" s="2"/>
      <c r="H1561" s="3"/>
      <c r="I1561" s="3"/>
      <c r="K1561" s="3"/>
      <c r="L1561" s="3"/>
      <c r="X1561" s="4"/>
      <c r="AA1561" s="3"/>
      <c r="AE1561" s="3"/>
      <c r="AK1561" s="5"/>
    </row>
    <row r="1562" spans="2:37" x14ac:dyDescent="0.25">
      <c r="B1562" s="1"/>
      <c r="E1562" s="2"/>
      <c r="H1562" s="3"/>
      <c r="I1562" s="3"/>
      <c r="K1562" s="3"/>
      <c r="L1562" s="3"/>
      <c r="X1562" s="4"/>
      <c r="AB1562" s="3"/>
      <c r="AE1562" s="3"/>
      <c r="AK1562" s="5"/>
    </row>
    <row r="1563" spans="2:37" x14ac:dyDescent="0.25">
      <c r="B1563" s="1"/>
      <c r="E1563" s="2"/>
      <c r="H1563" s="3"/>
      <c r="I1563" s="3"/>
      <c r="K1563" s="3"/>
      <c r="L1563" s="3"/>
      <c r="X1563" s="4"/>
      <c r="AB1563" s="3"/>
      <c r="AE1563" s="3"/>
      <c r="AK1563" s="5"/>
    </row>
    <row r="1564" spans="2:37" x14ac:dyDescent="0.25">
      <c r="B1564" s="1"/>
      <c r="E1564" s="2"/>
      <c r="H1564" s="3"/>
      <c r="I1564" s="3"/>
      <c r="K1564" s="3"/>
      <c r="L1564" s="3"/>
      <c r="X1564" s="4"/>
      <c r="Z1564" s="3"/>
      <c r="AB1564" s="3"/>
      <c r="AE1564" s="3"/>
      <c r="AK1564" s="5"/>
    </row>
    <row r="1565" spans="2:37" x14ac:dyDescent="0.25">
      <c r="B1565" s="1"/>
      <c r="E1565" s="2"/>
      <c r="G1565" s="3"/>
      <c r="H1565" s="3"/>
      <c r="I1565" s="3"/>
      <c r="K1565" s="3"/>
      <c r="L1565" s="3"/>
      <c r="X1565" s="4"/>
      <c r="Z1565" s="3"/>
      <c r="AB1565" s="3"/>
      <c r="AE1565" s="3"/>
      <c r="AK1565" s="5"/>
    </row>
    <row r="1566" spans="2:37" x14ac:dyDescent="0.25">
      <c r="B1566" s="1"/>
      <c r="E1566" s="2"/>
      <c r="H1566" s="3"/>
      <c r="I1566" s="3"/>
      <c r="K1566" s="3"/>
      <c r="L1566" s="3"/>
      <c r="X1566" s="4"/>
      <c r="Z1566" s="3"/>
      <c r="AB1566" s="3"/>
      <c r="AE1566" s="3"/>
      <c r="AK1566" s="5"/>
    </row>
    <row r="1567" spans="2:37" x14ac:dyDescent="0.25">
      <c r="B1567" s="1"/>
      <c r="C1567" s="3"/>
      <c r="E1567" s="2"/>
      <c r="G1567" s="3"/>
      <c r="H1567" s="3"/>
      <c r="I1567" s="3"/>
      <c r="K1567" s="3"/>
      <c r="L1567" s="3"/>
      <c r="X1567" s="4"/>
      <c r="Z1567" s="3"/>
      <c r="AE1567" s="3"/>
      <c r="AK1567" s="5"/>
    </row>
    <row r="1568" spans="2:37" x14ac:dyDescent="0.25">
      <c r="B1568" s="1"/>
      <c r="C1568" s="3"/>
      <c r="E1568" s="2"/>
      <c r="G1568" s="3"/>
      <c r="H1568" s="3"/>
      <c r="I1568" s="3"/>
      <c r="K1568" s="3"/>
      <c r="L1568" s="3"/>
      <c r="X1568" s="4"/>
      <c r="AA1568" s="3"/>
      <c r="AB1568" s="3"/>
      <c r="AE1568" s="3"/>
      <c r="AK1568" s="5"/>
    </row>
    <row r="1569" spans="2:37" x14ac:dyDescent="0.25">
      <c r="B1569" s="1"/>
      <c r="E1569" s="2"/>
      <c r="F1569" s="3"/>
      <c r="G1569" s="3"/>
      <c r="H1569" s="3"/>
      <c r="I1569" s="3"/>
      <c r="K1569" s="3"/>
      <c r="L1569" s="3"/>
      <c r="X1569" s="4"/>
      <c r="AA1569" s="3"/>
      <c r="AB1569" s="3"/>
      <c r="AE1569" s="3"/>
      <c r="AK1569" s="5"/>
    </row>
    <row r="1570" spans="2:37" x14ac:dyDescent="0.25">
      <c r="B1570" s="1"/>
      <c r="E1570" s="2"/>
      <c r="F1570" s="3"/>
      <c r="G1570" s="3"/>
      <c r="H1570" s="3"/>
      <c r="I1570" s="3"/>
      <c r="K1570" s="3"/>
      <c r="X1570" s="4"/>
      <c r="AK1570" s="5"/>
    </row>
    <row r="1571" spans="2:37" x14ac:dyDescent="0.25">
      <c r="B1571" s="1"/>
      <c r="E1571" s="2"/>
      <c r="H1571" s="3"/>
      <c r="I1571" s="3"/>
      <c r="K1571" s="3"/>
      <c r="L1571" s="3"/>
      <c r="X1571" s="4"/>
      <c r="AB1571" s="3"/>
      <c r="AD1571" s="3"/>
      <c r="AE1571" s="3"/>
      <c r="AK1571" s="5"/>
    </row>
    <row r="1572" spans="2:37" x14ac:dyDescent="0.25">
      <c r="B1572" s="1"/>
      <c r="E1572" s="2"/>
      <c r="H1572" s="3"/>
      <c r="I1572" s="3"/>
      <c r="K1572" s="3"/>
      <c r="L1572" s="3"/>
      <c r="X1572" s="4"/>
      <c r="AB1572" s="3"/>
      <c r="AE1572" s="3"/>
      <c r="AK1572" s="5"/>
    </row>
    <row r="1573" spans="2:37" x14ac:dyDescent="0.25">
      <c r="B1573" s="3"/>
      <c r="E1573" s="2"/>
      <c r="F1573" s="3"/>
      <c r="G1573" s="3"/>
      <c r="H1573" s="3"/>
      <c r="I1573" s="3"/>
      <c r="K1573" s="3"/>
      <c r="L1573" s="3"/>
      <c r="X1573" s="4"/>
      <c r="AE1573" s="3"/>
      <c r="AK1573" s="5"/>
    </row>
    <row r="1574" spans="2:37" x14ac:dyDescent="0.25">
      <c r="B1574" s="1"/>
      <c r="E1574" s="2"/>
      <c r="H1574" s="3"/>
      <c r="I1574" s="3"/>
      <c r="K1574" s="3"/>
      <c r="L1574" s="3"/>
      <c r="X1574" s="4"/>
      <c r="Z1574" s="3"/>
      <c r="AB1574" s="3"/>
      <c r="AD1574" s="3"/>
      <c r="AE1574" s="3"/>
      <c r="AK1574" s="5"/>
    </row>
    <row r="1575" spans="2:37" x14ac:dyDescent="0.25">
      <c r="B1575" s="1"/>
      <c r="E1575" s="2"/>
      <c r="G1575" s="3"/>
      <c r="H1575" s="3"/>
      <c r="I1575" s="3"/>
      <c r="K1575" s="3"/>
      <c r="L1575" s="3"/>
      <c r="X1575" s="4"/>
      <c r="AB1575" s="3"/>
      <c r="AE1575" s="3"/>
      <c r="AK1575" s="5"/>
    </row>
    <row r="1576" spans="2:37" x14ac:dyDescent="0.25">
      <c r="B1576" s="1"/>
      <c r="E1576" s="2"/>
      <c r="H1576" s="3"/>
      <c r="I1576" s="3"/>
      <c r="K1576" s="3"/>
      <c r="L1576" s="3"/>
      <c r="X1576" s="4"/>
      <c r="AK1576" s="5"/>
    </row>
    <row r="1577" spans="2:37" x14ac:dyDescent="0.25">
      <c r="B1577" s="1"/>
      <c r="E1577" s="2"/>
      <c r="F1577" s="3"/>
      <c r="G1577" s="3"/>
      <c r="H1577" s="3"/>
      <c r="I1577" s="3"/>
      <c r="K1577" s="3"/>
      <c r="L1577" s="3"/>
      <c r="X1577" s="4"/>
      <c r="AK1577" s="5"/>
    </row>
    <row r="1578" spans="2:37" x14ac:dyDescent="0.25">
      <c r="B1578" s="1"/>
      <c r="E1578" s="2"/>
      <c r="F1578" s="3"/>
      <c r="G1578" s="3"/>
      <c r="H1578" s="3"/>
      <c r="I1578" s="3"/>
      <c r="K1578" s="3"/>
      <c r="L1578" s="3"/>
      <c r="X1578" s="4"/>
      <c r="AK1578" s="5"/>
    </row>
    <row r="1579" spans="2:37" x14ac:dyDescent="0.25">
      <c r="B1579" s="1"/>
      <c r="E1579" s="2"/>
      <c r="G1579" s="3"/>
      <c r="H1579" s="3"/>
      <c r="I1579" s="3"/>
      <c r="K1579" s="3"/>
      <c r="X1579" s="4"/>
      <c r="AE1579" s="3"/>
      <c r="AK1579" s="5"/>
    </row>
    <row r="1580" spans="2:37" x14ac:dyDescent="0.25">
      <c r="B1580" s="1"/>
      <c r="E1580" s="2"/>
      <c r="H1580" s="3"/>
      <c r="I1580" s="3"/>
      <c r="K1580" s="3"/>
      <c r="L1580" s="3"/>
      <c r="X1580" s="4"/>
      <c r="AE1580" s="3"/>
      <c r="AK1580" s="5"/>
    </row>
    <row r="1581" spans="2:37" x14ac:dyDescent="0.25">
      <c r="B1581" s="1"/>
      <c r="E1581" s="2"/>
      <c r="G1581" s="3"/>
      <c r="H1581" s="3"/>
      <c r="I1581" s="3"/>
      <c r="K1581" s="3"/>
      <c r="L1581" s="3"/>
      <c r="X1581" s="4"/>
      <c r="AE1581" s="3"/>
      <c r="AK1581" s="5"/>
    </row>
    <row r="1582" spans="2:37" x14ac:dyDescent="0.25">
      <c r="B1582" s="1"/>
      <c r="E1582" s="2"/>
      <c r="G1582" s="3"/>
      <c r="H1582" s="3"/>
      <c r="I1582" s="3"/>
      <c r="K1582" s="3"/>
      <c r="L1582" s="3"/>
      <c r="X1582" s="4"/>
      <c r="Z1582" s="3"/>
      <c r="AB1582" s="3"/>
      <c r="AE1582" s="3"/>
      <c r="AK1582" s="5"/>
    </row>
    <row r="1583" spans="2:37" x14ac:dyDescent="0.25">
      <c r="B1583" s="1"/>
      <c r="E1583" s="2"/>
      <c r="G1583" s="3"/>
      <c r="H1583" s="3"/>
      <c r="I1583" s="3"/>
      <c r="K1583" s="3"/>
      <c r="L1583" s="3"/>
      <c r="X1583" s="4"/>
      <c r="Z1583" s="3"/>
      <c r="AB1583" s="3"/>
      <c r="AE1583" s="3"/>
      <c r="AK1583" s="5"/>
    </row>
    <row r="1584" spans="2:37" x14ac:dyDescent="0.25">
      <c r="B1584" s="1"/>
      <c r="E1584" s="2"/>
      <c r="F1584" s="3"/>
      <c r="G1584" s="3"/>
      <c r="H1584" s="3"/>
      <c r="I1584" s="3"/>
      <c r="K1584" s="3"/>
      <c r="L1584" s="3"/>
      <c r="X1584" s="4"/>
      <c r="AE1584" s="3"/>
      <c r="AK1584" s="5"/>
    </row>
    <row r="1585" spans="2:37" x14ac:dyDescent="0.25">
      <c r="B1585" s="1"/>
      <c r="E1585" s="2"/>
      <c r="F1585" s="3"/>
      <c r="G1585" s="3"/>
      <c r="H1585" s="3"/>
      <c r="I1585" s="3"/>
      <c r="K1585" s="3"/>
      <c r="L1585" s="3"/>
      <c r="X1585" s="4"/>
      <c r="AK1585" s="5"/>
    </row>
    <row r="1586" spans="2:37" x14ac:dyDescent="0.25">
      <c r="B1586" s="1"/>
      <c r="E1586" s="2"/>
      <c r="F1586" s="3"/>
      <c r="G1586" s="3"/>
      <c r="H1586" s="3"/>
      <c r="I1586" s="3"/>
      <c r="K1586" s="3"/>
      <c r="L1586" s="3"/>
      <c r="X1586" s="4"/>
      <c r="AE1586" s="3"/>
      <c r="AK1586" s="5"/>
    </row>
    <row r="1587" spans="2:37" x14ac:dyDescent="0.25">
      <c r="B1587" s="3"/>
      <c r="E1587" s="2"/>
      <c r="F1587" s="3"/>
      <c r="G1587" s="3"/>
      <c r="H1587" s="3"/>
      <c r="I1587" s="3"/>
      <c r="K1587" s="3"/>
      <c r="L1587" s="3"/>
      <c r="X1587" s="4"/>
      <c r="AE1587" s="3"/>
      <c r="AK1587" s="5"/>
    </row>
    <row r="1588" spans="2:37" x14ac:dyDescent="0.25">
      <c r="B1588" s="1"/>
      <c r="E1588" s="2"/>
      <c r="H1588" s="3"/>
      <c r="I1588" s="3"/>
      <c r="K1588" s="3"/>
      <c r="L1588" s="3"/>
      <c r="X1588" s="4"/>
      <c r="Z1588" s="3"/>
      <c r="AB1588" s="3"/>
      <c r="AE1588" s="3"/>
      <c r="AK1588" s="5"/>
    </row>
    <row r="1589" spans="2:37" x14ac:dyDescent="0.25">
      <c r="B1589" s="1"/>
      <c r="E1589" s="2"/>
      <c r="F1589" s="3"/>
      <c r="G1589" s="3"/>
      <c r="H1589" s="3"/>
      <c r="I1589" s="3"/>
      <c r="K1589" s="3"/>
      <c r="L1589" s="3"/>
      <c r="X1589" s="4"/>
      <c r="AB1589" s="3"/>
      <c r="AE1589" s="3"/>
      <c r="AK1589" s="5"/>
    </row>
    <row r="1590" spans="2:37" x14ac:dyDescent="0.25">
      <c r="B1590" s="1"/>
      <c r="E1590" s="2"/>
      <c r="G1590" s="3"/>
      <c r="H1590" s="3"/>
      <c r="I1590" s="3"/>
      <c r="K1590" s="3"/>
      <c r="L1590" s="3"/>
      <c r="X1590" s="4"/>
      <c r="AB1590" s="3"/>
      <c r="AE1590" s="3"/>
      <c r="AK1590" s="5"/>
    </row>
    <row r="1591" spans="2:37" x14ac:dyDescent="0.25">
      <c r="B1591" s="1"/>
      <c r="E1591" s="2"/>
      <c r="H1591" s="3"/>
      <c r="I1591" s="3"/>
      <c r="K1591" s="3"/>
      <c r="L1591" s="3"/>
      <c r="X1591" s="4"/>
      <c r="AB1591" s="3"/>
      <c r="AE1591" s="3"/>
      <c r="AK1591" s="5"/>
    </row>
    <row r="1592" spans="2:37" x14ac:dyDescent="0.25">
      <c r="B1592" s="1"/>
      <c r="E1592" s="2"/>
      <c r="F1592" s="3"/>
      <c r="G1592" s="3"/>
      <c r="H1592" s="3"/>
      <c r="I1592" s="3"/>
      <c r="K1592" s="3"/>
      <c r="L1592" s="3"/>
      <c r="X1592" s="4"/>
      <c r="Z1592" s="3"/>
      <c r="AD1592" s="3"/>
      <c r="AE1592" s="3"/>
      <c r="AK1592" s="5"/>
    </row>
    <row r="1593" spans="2:37" x14ac:dyDescent="0.25">
      <c r="B1593" s="3"/>
      <c r="E1593" s="2"/>
      <c r="G1593" s="3"/>
      <c r="H1593" s="3"/>
      <c r="I1593" s="3"/>
      <c r="K1593" s="3"/>
      <c r="L1593" s="3"/>
      <c r="X1593" s="4"/>
      <c r="Z1593" s="3"/>
      <c r="AD1593" s="3"/>
      <c r="AE1593" s="3"/>
      <c r="AK1593" s="5"/>
    </row>
    <row r="1594" spans="2:37" x14ac:dyDescent="0.25">
      <c r="B1594" s="1"/>
      <c r="E1594" s="2"/>
      <c r="F1594" s="3"/>
      <c r="G1594" s="3"/>
      <c r="H1594" s="3"/>
      <c r="I1594" s="3"/>
      <c r="K1594" s="3"/>
      <c r="L1594" s="3"/>
      <c r="X1594" s="4"/>
      <c r="Z1594" s="3"/>
      <c r="AB1594" s="3"/>
      <c r="AE1594" s="3"/>
      <c r="AK1594" s="5"/>
    </row>
    <row r="1595" spans="2:37" x14ac:dyDescent="0.25">
      <c r="B1595" s="1"/>
      <c r="E1595" s="2"/>
      <c r="F1595" s="3"/>
      <c r="G1595" s="3"/>
      <c r="H1595" s="3"/>
      <c r="I1595" s="3"/>
      <c r="K1595" s="3"/>
      <c r="L1595" s="3"/>
      <c r="X1595" s="4"/>
      <c r="AB1595" s="3"/>
      <c r="AK1595" s="5"/>
    </row>
    <row r="1596" spans="2:37" x14ac:dyDescent="0.25">
      <c r="B1596" s="1"/>
      <c r="E1596" s="2"/>
      <c r="F1596" s="3"/>
      <c r="G1596" s="3"/>
      <c r="H1596" s="3"/>
      <c r="I1596" s="3"/>
      <c r="K1596" s="3"/>
      <c r="L1596" s="3"/>
      <c r="X1596" s="4"/>
      <c r="AB1596" s="3"/>
      <c r="AK1596" s="5"/>
    </row>
    <row r="1597" spans="2:37" x14ac:dyDescent="0.25">
      <c r="B1597" s="1"/>
      <c r="E1597" s="2"/>
      <c r="F1597" s="3"/>
      <c r="G1597" s="3"/>
      <c r="H1597" s="3"/>
      <c r="I1597" s="3"/>
      <c r="K1597" s="3"/>
      <c r="X1597" s="4"/>
      <c r="AK1597" s="5"/>
    </row>
    <row r="1598" spans="2:37" x14ac:dyDescent="0.25">
      <c r="B1598" s="1"/>
      <c r="E1598" s="2"/>
      <c r="H1598" s="3"/>
      <c r="I1598" s="3"/>
      <c r="K1598" s="3"/>
      <c r="L1598" s="3"/>
      <c r="X1598" s="4"/>
      <c r="AB1598" s="3"/>
      <c r="AK1598" s="5"/>
    </row>
    <row r="1599" spans="2:37" x14ac:dyDescent="0.25">
      <c r="B1599" s="1"/>
      <c r="D1599" s="3"/>
      <c r="E1599" s="2"/>
      <c r="H1599" s="3"/>
      <c r="I1599" s="3"/>
      <c r="K1599" s="3"/>
      <c r="L1599" s="3"/>
      <c r="X1599" s="4"/>
      <c r="AB1599" s="3"/>
      <c r="AK1599" s="5"/>
    </row>
    <row r="1600" spans="2:37" x14ac:dyDescent="0.25">
      <c r="B1600" s="1"/>
      <c r="E1600" s="2"/>
      <c r="F1600" s="3"/>
      <c r="G1600" s="3"/>
      <c r="H1600" s="3"/>
      <c r="I1600" s="3"/>
      <c r="K1600" s="3"/>
      <c r="L1600" s="3"/>
      <c r="X1600" s="4"/>
      <c r="Z1600" s="3"/>
      <c r="AB1600" s="3"/>
      <c r="AE1600" s="3"/>
      <c r="AK1600" s="5"/>
    </row>
    <row r="1601" spans="2:37" x14ac:dyDescent="0.25">
      <c r="B1601" s="3"/>
      <c r="E1601" s="2"/>
      <c r="G1601" s="3"/>
      <c r="H1601" s="3"/>
      <c r="I1601" s="3"/>
      <c r="K1601" s="3"/>
      <c r="L1601" s="3"/>
      <c r="X1601" s="4"/>
      <c r="Z1601" s="3"/>
      <c r="AE1601" s="3"/>
      <c r="AK1601" s="5"/>
    </row>
    <row r="1602" spans="2:37" x14ac:dyDescent="0.25">
      <c r="B1602" s="1"/>
      <c r="E1602" s="2"/>
      <c r="G1602" s="3"/>
      <c r="H1602" s="3"/>
      <c r="I1602" s="3"/>
      <c r="K1602" s="3"/>
      <c r="L1602" s="3"/>
      <c r="X1602" s="4"/>
      <c r="Z1602" s="3"/>
      <c r="AD1602" s="3"/>
      <c r="AE1602" s="3"/>
      <c r="AK1602" s="5"/>
    </row>
    <row r="1603" spans="2:37" x14ac:dyDescent="0.25">
      <c r="B1603" s="1"/>
      <c r="E1603" s="2"/>
      <c r="G1603" s="3"/>
      <c r="H1603" s="3"/>
      <c r="I1603" s="3"/>
      <c r="K1603" s="3"/>
      <c r="L1603" s="3"/>
      <c r="X1603" s="4"/>
      <c r="Z1603" s="3"/>
      <c r="AD1603" s="3"/>
      <c r="AE1603" s="3"/>
      <c r="AK1603" s="5"/>
    </row>
    <row r="1604" spans="2:37" x14ac:dyDescent="0.25">
      <c r="B1604" s="1"/>
      <c r="E1604" s="2"/>
      <c r="H1604" s="3"/>
      <c r="I1604" s="3"/>
      <c r="K1604" s="3"/>
      <c r="L1604" s="3"/>
      <c r="X1604" s="4"/>
      <c r="Z1604" s="3"/>
      <c r="AB1604" s="3"/>
      <c r="AE1604" s="3"/>
      <c r="AK1604" s="5"/>
    </row>
    <row r="1605" spans="2:37" x14ac:dyDescent="0.25">
      <c r="B1605" s="1"/>
      <c r="E1605" s="2"/>
      <c r="G1605" s="3"/>
      <c r="H1605" s="3"/>
      <c r="I1605" s="3"/>
      <c r="K1605" s="3"/>
      <c r="L1605" s="3"/>
      <c r="X1605" s="4"/>
      <c r="Z1605" s="3"/>
      <c r="AB1605" s="3"/>
      <c r="AK1605" s="5"/>
    </row>
    <row r="1606" spans="2:37" x14ac:dyDescent="0.25">
      <c r="B1606" s="1"/>
      <c r="E1606" s="2"/>
      <c r="H1606" s="3"/>
      <c r="I1606" s="3"/>
      <c r="K1606" s="3"/>
      <c r="L1606" s="3"/>
      <c r="X1606" s="4"/>
      <c r="AB1606" s="3"/>
      <c r="AK1606" s="5"/>
    </row>
    <row r="1607" spans="2:37" x14ac:dyDescent="0.25">
      <c r="B1607" s="1"/>
      <c r="E1607" s="2"/>
      <c r="G1607" s="3"/>
      <c r="H1607" s="3"/>
      <c r="I1607" s="3"/>
      <c r="K1607" s="3"/>
      <c r="L1607" s="3"/>
      <c r="X1607" s="4"/>
      <c r="AD1607" s="3"/>
      <c r="AE1607" s="3"/>
      <c r="AK1607" s="5"/>
    </row>
    <row r="1608" spans="2:37" x14ac:dyDescent="0.25">
      <c r="B1608" s="1"/>
      <c r="E1608" s="2"/>
      <c r="G1608" s="3"/>
      <c r="H1608" s="3"/>
      <c r="I1608" s="3"/>
      <c r="K1608" s="3"/>
      <c r="L1608" s="3"/>
      <c r="X1608" s="4"/>
      <c r="AK1608" s="5"/>
    </row>
    <row r="1609" spans="2:37" x14ac:dyDescent="0.25">
      <c r="B1609" s="1"/>
      <c r="D1609" s="3"/>
      <c r="E1609" s="2"/>
      <c r="G1609" s="3"/>
      <c r="H1609" s="3"/>
      <c r="I1609" s="3"/>
      <c r="K1609" s="3"/>
      <c r="L1609" s="3"/>
      <c r="X1609" s="4"/>
      <c r="AK1609" s="5"/>
    </row>
    <row r="1610" spans="2:37" x14ac:dyDescent="0.25">
      <c r="B1610" s="1"/>
      <c r="E1610" s="2"/>
      <c r="G1610" s="3"/>
      <c r="H1610" s="3"/>
      <c r="I1610" s="3"/>
      <c r="K1610" s="3"/>
      <c r="L1610" s="3"/>
      <c r="X1610" s="4"/>
      <c r="AD1610" s="3"/>
      <c r="AE1610" s="3"/>
      <c r="AK1610" s="5"/>
    </row>
    <row r="1611" spans="2:37" x14ac:dyDescent="0.25">
      <c r="B1611" s="3"/>
      <c r="E1611" s="2"/>
      <c r="G1611" s="3"/>
      <c r="H1611" s="3"/>
      <c r="I1611" s="3"/>
      <c r="K1611" s="3"/>
      <c r="L1611" s="3"/>
      <c r="X1611" s="4"/>
      <c r="Z1611" s="3"/>
      <c r="AD1611" s="3"/>
      <c r="AE1611" s="3"/>
      <c r="AK1611" s="5"/>
    </row>
    <row r="1612" spans="2:37" x14ac:dyDescent="0.25">
      <c r="B1612" s="1"/>
      <c r="E1612" s="2"/>
      <c r="H1612" s="3"/>
      <c r="I1612" s="3"/>
      <c r="K1612" s="3"/>
      <c r="L1612" s="3"/>
      <c r="X1612" s="4"/>
      <c r="Z1612" s="3"/>
      <c r="AB1612" s="3"/>
      <c r="AD1612" s="3"/>
      <c r="AE1612" s="3"/>
      <c r="AK1612" s="5"/>
    </row>
    <row r="1613" spans="2:37" x14ac:dyDescent="0.25">
      <c r="B1613" s="1"/>
      <c r="E1613" s="2"/>
      <c r="G1613" s="3"/>
      <c r="H1613" s="3"/>
      <c r="I1613" s="3"/>
      <c r="K1613" s="3"/>
      <c r="L1613" s="3"/>
      <c r="X1613" s="4"/>
      <c r="Z1613" s="3"/>
      <c r="AB1613" s="3"/>
      <c r="AE1613" s="3"/>
      <c r="AK1613" s="5"/>
    </row>
    <row r="1614" spans="2:37" x14ac:dyDescent="0.25">
      <c r="B1614" s="1"/>
      <c r="E1614" s="2"/>
      <c r="H1614" s="3"/>
      <c r="I1614" s="3"/>
      <c r="K1614" s="3"/>
      <c r="L1614" s="3"/>
      <c r="X1614" s="4"/>
      <c r="Z1614" s="3"/>
      <c r="AE1614" s="3"/>
      <c r="AK1614" s="5"/>
    </row>
    <row r="1615" spans="2:37" x14ac:dyDescent="0.25">
      <c r="B1615" s="1"/>
      <c r="D1615" s="3"/>
      <c r="E1615" s="2"/>
      <c r="G1615" s="3"/>
      <c r="H1615" s="3"/>
      <c r="I1615" s="3"/>
      <c r="K1615" s="3"/>
      <c r="L1615" s="3"/>
      <c r="X1615" s="4"/>
      <c r="Z1615" s="3"/>
      <c r="AB1615" s="3"/>
      <c r="AE1615" s="3"/>
      <c r="AK1615" s="5"/>
    </row>
    <row r="1616" spans="2:37" x14ac:dyDescent="0.25">
      <c r="B1616" s="1"/>
      <c r="E1616" s="2"/>
      <c r="H1616" s="3"/>
      <c r="I1616" s="3"/>
      <c r="K1616" s="3"/>
      <c r="L1616" s="3"/>
      <c r="X1616" s="4"/>
      <c r="Z1616" s="3"/>
      <c r="AB1616" s="3"/>
      <c r="AE1616" s="3"/>
      <c r="AK1616" s="5"/>
    </row>
    <row r="1617" spans="2:37" x14ac:dyDescent="0.25">
      <c r="B1617" s="1"/>
      <c r="D1617" s="3"/>
      <c r="E1617" s="2"/>
      <c r="G1617" s="3"/>
      <c r="H1617" s="3"/>
      <c r="I1617" s="3"/>
      <c r="K1617" s="3"/>
      <c r="L1617" s="3"/>
      <c r="X1617" s="4"/>
      <c r="Z1617" s="3"/>
      <c r="AB1617" s="3"/>
      <c r="AE1617" s="3"/>
      <c r="AK1617" s="5"/>
    </row>
    <row r="1618" spans="2:37" x14ac:dyDescent="0.25">
      <c r="B1618" s="1"/>
      <c r="E1618" s="2"/>
      <c r="G1618" s="3"/>
      <c r="H1618" s="3"/>
      <c r="I1618" s="3"/>
      <c r="K1618" s="3"/>
      <c r="L1618" s="3"/>
      <c r="X1618" s="4"/>
      <c r="Z1618" s="3"/>
      <c r="AB1618" s="3"/>
      <c r="AE1618" s="3"/>
      <c r="AK1618" s="5"/>
    </row>
    <row r="1619" spans="2:37" x14ac:dyDescent="0.25">
      <c r="B1619" s="1"/>
      <c r="E1619" s="2"/>
      <c r="G1619" s="3"/>
      <c r="H1619" s="3"/>
      <c r="I1619" s="3"/>
      <c r="K1619" s="3"/>
      <c r="L1619" s="3"/>
      <c r="X1619" s="4"/>
    </row>
    <row r="1620" spans="2:37" x14ac:dyDescent="0.25">
      <c r="B1620" s="1"/>
      <c r="D1620" s="3"/>
      <c r="E1620" s="2"/>
      <c r="G1620" s="3"/>
      <c r="H1620" s="3"/>
      <c r="I1620" s="3"/>
      <c r="K1620" s="3"/>
      <c r="X1620" s="4"/>
      <c r="AK1620" s="5"/>
    </row>
    <row r="1621" spans="2:37" x14ac:dyDescent="0.25">
      <c r="B1621" s="1"/>
      <c r="E1621" s="2"/>
      <c r="G1621" s="3"/>
      <c r="H1621" s="3"/>
      <c r="I1621" s="3"/>
      <c r="K1621" s="3"/>
      <c r="L1621" s="3"/>
      <c r="X1621" s="4"/>
      <c r="Z1621" s="3"/>
      <c r="AB1621" s="3"/>
      <c r="AE1621" s="3"/>
      <c r="AK1621" s="5"/>
    </row>
    <row r="1622" spans="2:37" x14ac:dyDescent="0.25">
      <c r="B1622" s="1"/>
      <c r="E1622" s="2"/>
      <c r="H1622" s="3"/>
      <c r="I1622" s="3"/>
      <c r="K1622" s="3"/>
      <c r="L1622" s="3"/>
      <c r="X1622" s="4"/>
      <c r="Z1622" s="3"/>
      <c r="AB1622" s="3"/>
      <c r="AE1622" s="3"/>
      <c r="AK1622" s="5"/>
    </row>
    <row r="1623" spans="2:37" x14ac:dyDescent="0.25">
      <c r="B1623" s="1"/>
      <c r="E1623" s="2"/>
      <c r="H1623" s="3"/>
      <c r="I1623" s="3"/>
      <c r="K1623" s="3"/>
      <c r="L1623" s="3"/>
      <c r="X1623" s="4"/>
      <c r="AB1623" s="3"/>
      <c r="AE1623" s="3"/>
      <c r="AK1623" s="5"/>
    </row>
    <row r="1624" spans="2:37" x14ac:dyDescent="0.25">
      <c r="B1624" s="1"/>
      <c r="E1624" s="2"/>
      <c r="G1624" s="3"/>
      <c r="H1624" s="3"/>
      <c r="I1624" s="3"/>
      <c r="K1624" s="3"/>
      <c r="L1624" s="3"/>
      <c r="X1624" s="4"/>
      <c r="Z1624" s="3"/>
      <c r="AE1624" s="3"/>
      <c r="AK1624" s="5"/>
    </row>
    <row r="1625" spans="2:37" x14ac:dyDescent="0.25">
      <c r="B1625" s="1"/>
      <c r="E1625" s="2"/>
      <c r="G1625" s="3"/>
      <c r="H1625" s="3"/>
      <c r="I1625" s="3"/>
      <c r="K1625" s="3"/>
      <c r="L1625" s="3"/>
      <c r="X1625" s="4"/>
      <c r="Z1625" s="3"/>
      <c r="AB1625" s="3"/>
      <c r="AE1625" s="3"/>
      <c r="AK1625" s="5"/>
    </row>
    <row r="1626" spans="2:37" x14ac:dyDescent="0.25">
      <c r="B1626" s="1"/>
      <c r="E1626" s="2"/>
      <c r="H1626" s="3"/>
      <c r="I1626" s="3"/>
      <c r="K1626" s="3"/>
      <c r="L1626" s="3"/>
      <c r="X1626" s="4"/>
      <c r="AB1626" s="3"/>
      <c r="AE1626" s="3"/>
      <c r="AK1626" s="5"/>
    </row>
    <row r="1627" spans="2:37" x14ac:dyDescent="0.25">
      <c r="B1627" s="1"/>
      <c r="E1627" s="2"/>
      <c r="H1627" s="3"/>
      <c r="I1627" s="3"/>
      <c r="K1627" s="3"/>
      <c r="L1627" s="3"/>
      <c r="X1627" s="4"/>
      <c r="AB1627" s="3"/>
      <c r="AE1627" s="3"/>
      <c r="AK1627" s="5"/>
    </row>
    <row r="1628" spans="2:37" x14ac:dyDescent="0.25">
      <c r="B1628" s="1"/>
      <c r="D1628" s="3"/>
      <c r="E1628" s="2"/>
      <c r="G1628" s="3"/>
      <c r="H1628" s="3"/>
      <c r="I1628" s="3"/>
      <c r="K1628" s="3"/>
      <c r="L1628" s="3"/>
      <c r="X1628" s="4"/>
      <c r="AB1628" s="3"/>
      <c r="AK1628" s="5"/>
    </row>
    <row r="1629" spans="2:37" x14ac:dyDescent="0.25">
      <c r="B1629" s="1"/>
      <c r="D1629" s="3"/>
      <c r="E1629" s="2"/>
      <c r="G1629" s="3"/>
      <c r="H1629" s="3"/>
      <c r="I1629" s="3"/>
      <c r="K1629" s="3"/>
      <c r="L1629" s="3"/>
      <c r="X1629" s="4"/>
      <c r="Z1629" s="3"/>
      <c r="AE1629" s="3"/>
      <c r="AK1629" s="5"/>
    </row>
    <row r="1630" spans="2:37" x14ac:dyDescent="0.25">
      <c r="B1630" s="1"/>
      <c r="E1630" s="2"/>
      <c r="H1630" s="3"/>
      <c r="I1630" s="3"/>
      <c r="K1630" s="3"/>
      <c r="L1630" s="3"/>
      <c r="X1630" s="4"/>
      <c r="Z1630" s="3"/>
      <c r="AE1630" s="3"/>
      <c r="AK1630" s="5"/>
    </row>
    <row r="1631" spans="2:37" x14ac:dyDescent="0.25">
      <c r="B1631" s="1"/>
      <c r="E1631" s="2"/>
      <c r="F1631" s="3"/>
      <c r="G1631" s="3"/>
      <c r="H1631" s="3"/>
      <c r="I1631" s="3"/>
      <c r="K1631" s="3"/>
      <c r="L1631" s="3"/>
      <c r="X1631" s="4"/>
      <c r="AB1631" s="3"/>
      <c r="AE1631" s="3"/>
      <c r="AK1631" s="5"/>
    </row>
    <row r="1632" spans="2:37" x14ac:dyDescent="0.25">
      <c r="B1632" s="1"/>
      <c r="E1632" s="2"/>
      <c r="H1632" s="3"/>
      <c r="I1632" s="3"/>
      <c r="K1632" s="3"/>
      <c r="L1632" s="3"/>
      <c r="X1632" s="4"/>
      <c r="AB1632" s="3"/>
      <c r="AE1632" s="3"/>
      <c r="AK1632" s="5"/>
    </row>
    <row r="1633" spans="2:37" x14ac:dyDescent="0.25">
      <c r="B1633" s="1"/>
      <c r="E1633" s="2"/>
      <c r="F1633" s="3"/>
      <c r="H1633" s="3"/>
      <c r="I1633" s="3"/>
      <c r="K1633" s="3"/>
      <c r="L1633" s="3"/>
      <c r="X1633" s="4"/>
      <c r="AB1633" s="3"/>
      <c r="AE1633" s="3"/>
      <c r="AK1633" s="5"/>
    </row>
    <row r="1634" spans="2:37" x14ac:dyDescent="0.25">
      <c r="B1634" s="1"/>
      <c r="E1634" s="2"/>
      <c r="G1634" s="3"/>
      <c r="H1634" s="3"/>
      <c r="I1634" s="3"/>
      <c r="K1634" s="3"/>
      <c r="L1634" s="3"/>
      <c r="X1634" s="4"/>
      <c r="Z1634" s="3"/>
      <c r="AE1634" s="3"/>
      <c r="AK1634" s="5"/>
    </row>
    <row r="1635" spans="2:37" x14ac:dyDescent="0.25">
      <c r="B1635" s="1"/>
      <c r="E1635" s="2"/>
      <c r="G1635" s="3"/>
      <c r="H1635" s="3"/>
      <c r="I1635" s="3"/>
      <c r="K1635" s="3"/>
      <c r="L1635" s="3"/>
      <c r="X1635" s="4"/>
      <c r="Z1635" s="3"/>
      <c r="AE1635" s="3"/>
      <c r="AK1635" s="5"/>
    </row>
    <row r="1636" spans="2:37" x14ac:dyDescent="0.25">
      <c r="B1636" s="1"/>
      <c r="E1636" s="2"/>
      <c r="G1636" s="3"/>
      <c r="H1636" s="3"/>
      <c r="I1636" s="3"/>
      <c r="K1636" s="3"/>
      <c r="L1636" s="3"/>
      <c r="X1636" s="4"/>
      <c r="AB1636" s="3"/>
      <c r="AE1636" s="3"/>
      <c r="AK1636" s="5"/>
    </row>
    <row r="1637" spans="2:37" x14ac:dyDescent="0.25">
      <c r="B1637" s="1"/>
      <c r="E1637" s="2"/>
      <c r="G1637" s="3"/>
      <c r="H1637" s="3"/>
      <c r="I1637" s="3"/>
      <c r="K1637" s="3"/>
      <c r="L1637" s="3"/>
      <c r="X1637" s="4"/>
      <c r="AD1637" s="3"/>
      <c r="AE1637" s="3"/>
      <c r="AK1637" s="5"/>
    </row>
    <row r="1638" spans="2:37" x14ac:dyDescent="0.25">
      <c r="B1638" s="1"/>
      <c r="D1638" s="3"/>
      <c r="E1638" s="2"/>
      <c r="G1638" s="3"/>
      <c r="H1638" s="3"/>
      <c r="I1638" s="3"/>
      <c r="K1638" s="3"/>
      <c r="L1638" s="3"/>
      <c r="X1638" s="4"/>
      <c r="Z1638" s="3"/>
      <c r="AD1638" s="3"/>
      <c r="AE1638" s="3"/>
      <c r="AK1638" s="5"/>
    </row>
    <row r="1639" spans="2:37" x14ac:dyDescent="0.25">
      <c r="B1639" s="1"/>
      <c r="D1639" s="3"/>
      <c r="E1639" s="2"/>
      <c r="G1639" s="3"/>
      <c r="H1639" s="3"/>
      <c r="I1639" s="3"/>
      <c r="K1639" s="3"/>
      <c r="L1639" s="3"/>
      <c r="X1639" s="4"/>
      <c r="Z1639" s="3"/>
      <c r="AD1639" s="3"/>
      <c r="AE1639" s="3"/>
      <c r="AK1639" s="5"/>
    </row>
    <row r="1640" spans="2:37" x14ac:dyDescent="0.25">
      <c r="B1640" s="1"/>
      <c r="E1640" s="2"/>
      <c r="H1640" s="3"/>
      <c r="I1640" s="3"/>
      <c r="K1640" s="3"/>
      <c r="L1640" s="3"/>
      <c r="X1640" s="4"/>
      <c r="Z1640" s="3"/>
      <c r="AD1640" s="3"/>
      <c r="AE1640" s="3"/>
      <c r="AK1640" s="5"/>
    </row>
    <row r="1641" spans="2:37" x14ac:dyDescent="0.25">
      <c r="B1641" s="1"/>
      <c r="E1641" s="2"/>
      <c r="H1641" s="3"/>
      <c r="I1641" s="3"/>
      <c r="K1641" s="3"/>
      <c r="L1641" s="3"/>
      <c r="X1641" s="4"/>
      <c r="AB1641" s="3"/>
      <c r="AE1641" s="3"/>
      <c r="AK1641" s="5"/>
    </row>
    <row r="1642" spans="2:37" x14ac:dyDescent="0.25">
      <c r="B1642" s="1"/>
      <c r="E1642" s="2"/>
      <c r="H1642" s="3"/>
      <c r="I1642" s="3"/>
      <c r="K1642" s="3"/>
      <c r="L1642" s="3"/>
      <c r="X1642" s="4"/>
      <c r="AB1642" s="3"/>
      <c r="AE1642" s="3"/>
      <c r="AK1642" s="5"/>
    </row>
    <row r="1643" spans="2:37" x14ac:dyDescent="0.25">
      <c r="B1643" s="1"/>
      <c r="D1643" s="3"/>
      <c r="E1643" s="2"/>
      <c r="G1643" s="3"/>
      <c r="H1643" s="3"/>
      <c r="I1643" s="3"/>
      <c r="K1643" s="3"/>
      <c r="L1643" s="3"/>
      <c r="X1643" s="4"/>
      <c r="AA1643" s="3"/>
      <c r="AE1643" s="3"/>
      <c r="AK1643" s="5"/>
    </row>
    <row r="1644" spans="2:37" x14ac:dyDescent="0.25">
      <c r="B1644" s="1"/>
      <c r="D1644" s="3"/>
      <c r="E1644" s="2"/>
      <c r="G1644" s="3"/>
      <c r="H1644" s="3"/>
      <c r="I1644" s="3"/>
      <c r="K1644" s="3"/>
      <c r="L1644" s="3"/>
      <c r="X1644" s="4"/>
      <c r="Z1644" s="3"/>
      <c r="AA1644" s="3"/>
      <c r="AB1644" s="3"/>
      <c r="AE1644" s="3"/>
      <c r="AK1644" s="5"/>
    </row>
    <row r="1645" spans="2:37" x14ac:dyDescent="0.25">
      <c r="B1645" s="1"/>
      <c r="E1645" s="2"/>
      <c r="H1645" s="3"/>
      <c r="I1645" s="3"/>
      <c r="K1645" s="3"/>
      <c r="L1645" s="3"/>
      <c r="X1645" s="4"/>
      <c r="Z1645" s="3"/>
      <c r="AB1645" s="3"/>
      <c r="AE1645" s="3"/>
      <c r="AK1645" s="5"/>
    </row>
    <row r="1646" spans="2:37" x14ac:dyDescent="0.25">
      <c r="B1646" s="1"/>
      <c r="D1646" s="3"/>
      <c r="E1646" s="2"/>
      <c r="G1646" s="3"/>
      <c r="H1646" s="3"/>
      <c r="I1646" s="3"/>
      <c r="K1646" s="3"/>
      <c r="L1646" s="3"/>
      <c r="X1646" s="4"/>
      <c r="Z1646" s="3"/>
      <c r="AE1646" s="3"/>
      <c r="AK1646" s="5"/>
    </row>
    <row r="1647" spans="2:37" x14ac:dyDescent="0.25">
      <c r="B1647" s="1"/>
      <c r="D1647" s="3"/>
      <c r="E1647" s="2"/>
      <c r="G1647" s="3"/>
      <c r="H1647" s="3"/>
      <c r="I1647" s="3"/>
      <c r="K1647" s="3"/>
      <c r="L1647" s="3"/>
      <c r="X1647" s="4"/>
      <c r="AB1647" s="3"/>
      <c r="AD1647" s="3"/>
      <c r="AE1647" s="3"/>
      <c r="AK1647" s="5"/>
    </row>
    <row r="1648" spans="2:37" x14ac:dyDescent="0.25">
      <c r="B1648" s="1"/>
      <c r="E1648" s="2"/>
      <c r="H1648" s="3"/>
      <c r="I1648" s="3"/>
      <c r="K1648" s="3"/>
      <c r="L1648" s="3"/>
      <c r="X1648" s="4"/>
      <c r="Z1648" s="3"/>
      <c r="AB1648" s="3"/>
      <c r="AE1648" s="3"/>
      <c r="AK1648" s="5"/>
    </row>
    <row r="1649" spans="2:37" x14ac:dyDescent="0.25">
      <c r="B1649" s="1"/>
      <c r="D1649" s="3"/>
      <c r="E1649" s="2"/>
      <c r="H1649" s="3"/>
      <c r="I1649" s="3"/>
      <c r="K1649" s="3"/>
      <c r="L1649" s="3"/>
      <c r="X1649" s="4"/>
      <c r="AK1649" s="5"/>
    </row>
    <row r="1650" spans="2:37" x14ac:dyDescent="0.25">
      <c r="B1650" s="1"/>
      <c r="E1650" s="2"/>
      <c r="G1650" s="3"/>
      <c r="H1650" s="3"/>
      <c r="I1650" s="3"/>
      <c r="K1650" s="3"/>
      <c r="X1650" s="4"/>
      <c r="AE1650" s="3"/>
      <c r="AK1650" s="5"/>
    </row>
    <row r="1651" spans="2:37" x14ac:dyDescent="0.25">
      <c r="B1651" s="1"/>
      <c r="E1651" s="2"/>
      <c r="H1651" s="3"/>
      <c r="I1651" s="3"/>
      <c r="K1651" s="3"/>
      <c r="L1651" s="3"/>
      <c r="X1651" s="4"/>
      <c r="Z1651" s="3"/>
      <c r="AB1651" s="3"/>
      <c r="AD1651" s="3"/>
      <c r="AE1651" s="3"/>
      <c r="AK1651" s="5"/>
    </row>
    <row r="1652" spans="2:37" x14ac:dyDescent="0.25">
      <c r="B1652" s="1"/>
      <c r="E1652" s="2"/>
      <c r="H1652" s="3"/>
      <c r="I1652" s="3"/>
      <c r="K1652" s="3"/>
      <c r="L1652" s="3"/>
      <c r="X1652" s="4"/>
      <c r="Z1652" s="3"/>
      <c r="AB1652" s="3"/>
      <c r="AD1652" s="3"/>
      <c r="AE1652" s="3"/>
      <c r="AK1652" s="5"/>
    </row>
    <row r="1653" spans="2:37" x14ac:dyDescent="0.25">
      <c r="B1653" s="1"/>
      <c r="D1653" s="3"/>
      <c r="E1653" s="2"/>
      <c r="G1653" s="3"/>
      <c r="H1653" s="3"/>
      <c r="I1653" s="3"/>
      <c r="K1653" s="3"/>
      <c r="L1653" s="3"/>
      <c r="X1653" s="4"/>
      <c r="Z1653" s="3"/>
      <c r="AB1653" s="3"/>
      <c r="AD1653" s="3"/>
      <c r="AE1653" s="3"/>
      <c r="AK1653" s="5"/>
    </row>
    <row r="1654" spans="2:37" x14ac:dyDescent="0.25">
      <c r="B1654" s="1"/>
      <c r="D1654" s="3"/>
      <c r="E1654" s="2"/>
      <c r="G1654" s="3"/>
      <c r="H1654" s="3"/>
      <c r="I1654" s="3"/>
      <c r="K1654" s="3"/>
      <c r="L1654" s="3"/>
      <c r="X1654" s="4"/>
      <c r="Z1654" s="3"/>
      <c r="AB1654" s="3"/>
      <c r="AE1654" s="3"/>
      <c r="AK1654" s="5"/>
    </row>
    <row r="1655" spans="2:37" x14ac:dyDescent="0.25">
      <c r="B1655" s="1"/>
      <c r="E1655" s="2"/>
      <c r="H1655" s="3"/>
      <c r="I1655" s="3"/>
      <c r="K1655" s="3"/>
      <c r="L1655" s="3"/>
      <c r="X1655" s="4"/>
      <c r="Z1655" s="3"/>
      <c r="AB1655" s="3"/>
      <c r="AE1655" s="3"/>
      <c r="AK1655" s="5"/>
    </row>
    <row r="1656" spans="2:37" x14ac:dyDescent="0.25">
      <c r="B1656" s="1"/>
      <c r="D1656" s="3"/>
      <c r="E1656" s="2"/>
      <c r="G1656" s="3"/>
      <c r="H1656" s="3"/>
      <c r="I1656" s="3"/>
      <c r="K1656" s="3"/>
      <c r="L1656" s="3"/>
      <c r="X1656" s="4"/>
      <c r="Z1656" s="3"/>
      <c r="AB1656" s="3"/>
      <c r="AE1656" s="3"/>
      <c r="AK1656" s="5"/>
    </row>
    <row r="1657" spans="2:37" x14ac:dyDescent="0.25">
      <c r="B1657" s="1"/>
      <c r="D1657" s="3"/>
      <c r="E1657" s="2"/>
      <c r="G1657" s="3"/>
      <c r="H1657" s="3"/>
      <c r="I1657" s="3"/>
      <c r="K1657" s="3"/>
      <c r="L1657" s="3"/>
      <c r="X1657" s="4"/>
      <c r="AB1657" s="3"/>
      <c r="AK1657" s="5"/>
    </row>
    <row r="1658" spans="2:37" x14ac:dyDescent="0.25">
      <c r="B1658" s="1"/>
      <c r="E1658" s="2"/>
      <c r="G1658" s="3"/>
      <c r="H1658" s="3"/>
      <c r="I1658" s="3"/>
      <c r="K1658" s="3"/>
      <c r="L1658" s="3"/>
      <c r="X1658" s="4"/>
      <c r="Z1658" s="3"/>
      <c r="AB1658" s="3"/>
      <c r="AE1658" s="3"/>
      <c r="AK1658" s="5"/>
    </row>
    <row r="1659" spans="2:37" x14ac:dyDescent="0.25">
      <c r="B1659" s="1"/>
      <c r="E1659" s="2"/>
      <c r="H1659" s="3"/>
      <c r="I1659" s="3"/>
      <c r="K1659" s="3"/>
      <c r="L1659" s="3"/>
      <c r="X1659" s="4"/>
      <c r="AB1659" s="3"/>
      <c r="AD1659" s="3"/>
      <c r="AE1659" s="3"/>
      <c r="AK1659" s="5"/>
    </row>
    <row r="1660" spans="2:37" x14ac:dyDescent="0.25">
      <c r="B1660" s="1"/>
      <c r="E1660" s="2"/>
      <c r="H1660" s="3"/>
      <c r="I1660" s="3"/>
      <c r="K1660" s="3"/>
      <c r="L1660" s="3"/>
      <c r="X1660" s="4"/>
      <c r="AK1660" s="5"/>
    </row>
    <row r="1661" spans="2:37" x14ac:dyDescent="0.25">
      <c r="B1661" s="1"/>
      <c r="E1661" s="2"/>
      <c r="G1661" s="3"/>
      <c r="H1661" s="3"/>
      <c r="I1661" s="3"/>
      <c r="K1661" s="3"/>
      <c r="L1661" s="3"/>
      <c r="X1661" s="4"/>
      <c r="Z1661" s="3"/>
      <c r="AD1661" s="3"/>
      <c r="AE1661" s="3"/>
      <c r="AK1661" s="5"/>
    </row>
    <row r="1662" spans="2:37" x14ac:dyDescent="0.25">
      <c r="B1662" s="1"/>
      <c r="E1662" s="2"/>
      <c r="H1662" s="3"/>
      <c r="I1662" s="3"/>
      <c r="K1662" s="3"/>
      <c r="L1662" s="3"/>
      <c r="X1662" s="4"/>
      <c r="Z1662" s="3"/>
      <c r="AD1662" s="3"/>
      <c r="AE1662" s="3"/>
      <c r="AK1662" s="5"/>
    </row>
    <row r="1663" spans="2:37" x14ac:dyDescent="0.25">
      <c r="B1663" s="1"/>
      <c r="E1663" s="2"/>
      <c r="H1663" s="3"/>
      <c r="I1663" s="3"/>
      <c r="K1663" s="3"/>
      <c r="L1663" s="3"/>
      <c r="X1663" s="4"/>
      <c r="Z1663" s="3"/>
      <c r="AB1663" s="3"/>
      <c r="AD1663" s="3"/>
      <c r="AE1663" s="3"/>
      <c r="AK1663" s="5"/>
    </row>
    <row r="1664" spans="2:37" x14ac:dyDescent="0.25">
      <c r="B1664" s="1"/>
      <c r="E1664" s="2"/>
      <c r="H1664" s="3"/>
      <c r="I1664" s="3"/>
      <c r="K1664" s="3"/>
      <c r="L1664" s="3"/>
      <c r="X1664" s="4"/>
      <c r="AB1664" s="3"/>
      <c r="AE1664" s="3"/>
      <c r="AK1664" s="5"/>
    </row>
    <row r="1665" spans="2:37" x14ac:dyDescent="0.25">
      <c r="B1665" s="1"/>
      <c r="E1665" s="2"/>
      <c r="H1665" s="3"/>
      <c r="I1665" s="3"/>
      <c r="K1665" s="3"/>
      <c r="L1665" s="3"/>
      <c r="X1665" s="4"/>
      <c r="AB1665" s="3"/>
      <c r="AE1665" s="3"/>
      <c r="AK1665" s="5"/>
    </row>
    <row r="1666" spans="2:37" x14ac:dyDescent="0.25">
      <c r="B1666" s="1"/>
      <c r="E1666" s="2"/>
      <c r="G1666" s="3"/>
      <c r="H1666" s="3"/>
      <c r="I1666" s="3"/>
      <c r="K1666" s="3"/>
      <c r="L1666" s="3"/>
      <c r="X1666" s="4"/>
      <c r="AB1666" s="3"/>
      <c r="AE1666" s="3"/>
      <c r="AK1666" s="5"/>
    </row>
    <row r="1667" spans="2:37" x14ac:dyDescent="0.25">
      <c r="B1667" s="1"/>
      <c r="E1667" s="2"/>
      <c r="H1667" s="3"/>
      <c r="I1667" s="3"/>
      <c r="K1667" s="3"/>
      <c r="L1667" s="3"/>
      <c r="X1667" s="4"/>
      <c r="AB1667" s="3"/>
      <c r="AD1667" s="3"/>
      <c r="AE1667" s="3"/>
      <c r="AK1667" s="5"/>
    </row>
    <row r="1668" spans="2:37" x14ac:dyDescent="0.25">
      <c r="B1668" s="1"/>
      <c r="E1668" s="2"/>
      <c r="H1668" s="3"/>
      <c r="I1668" s="3"/>
      <c r="K1668" s="3"/>
      <c r="L1668" s="3"/>
      <c r="X1668" s="4"/>
      <c r="Z1668" s="3"/>
      <c r="AB1668" s="3"/>
      <c r="AD1668" s="3"/>
      <c r="AE1668" s="3"/>
      <c r="AK1668" s="5"/>
    </row>
    <row r="1669" spans="2:37" x14ac:dyDescent="0.25">
      <c r="B1669" s="1"/>
      <c r="E1669" s="2"/>
      <c r="H1669" s="3"/>
      <c r="I1669" s="3"/>
      <c r="K1669" s="3"/>
      <c r="L1669" s="3"/>
      <c r="X1669" s="4"/>
      <c r="Z1669" s="3"/>
      <c r="AD1669" s="3"/>
      <c r="AE1669" s="3"/>
      <c r="AK1669" s="5"/>
    </row>
    <row r="1670" spans="2:37" x14ac:dyDescent="0.25">
      <c r="B1670" s="1"/>
      <c r="E1670" s="2"/>
      <c r="H1670" s="3"/>
      <c r="I1670" s="3"/>
      <c r="K1670" s="3"/>
      <c r="L1670" s="3"/>
      <c r="X1670" s="4"/>
      <c r="AD1670" s="3"/>
      <c r="AE1670" s="3"/>
      <c r="AK1670" s="5"/>
    </row>
    <row r="1671" spans="2:37" x14ac:dyDescent="0.25">
      <c r="B1671" s="1"/>
      <c r="E1671" s="2"/>
      <c r="H1671" s="3"/>
      <c r="I1671" s="3"/>
      <c r="K1671" s="3"/>
      <c r="L1671" s="3"/>
      <c r="X1671" s="4"/>
      <c r="Z1671" s="3"/>
      <c r="AD1671" s="3"/>
      <c r="AE1671" s="3"/>
      <c r="AK1671" s="5"/>
    </row>
    <row r="1672" spans="2:37" x14ac:dyDescent="0.25">
      <c r="B1672" s="1"/>
      <c r="E1672" s="2"/>
      <c r="H1672" s="3"/>
      <c r="I1672" s="3"/>
      <c r="K1672" s="3"/>
      <c r="L1672" s="3"/>
      <c r="X1672" s="4"/>
      <c r="Z1672" s="3"/>
      <c r="AD1672" s="3"/>
      <c r="AE1672" s="3"/>
      <c r="AK1672" s="5"/>
    </row>
    <row r="1673" spans="2:37" x14ac:dyDescent="0.25">
      <c r="B1673" s="1"/>
      <c r="E1673" s="2"/>
      <c r="G1673" s="3"/>
      <c r="H1673" s="3"/>
      <c r="I1673" s="3"/>
      <c r="K1673" s="3"/>
      <c r="L1673" s="3"/>
      <c r="X1673" s="4"/>
      <c r="Z1673" s="3"/>
      <c r="AD1673" s="3"/>
      <c r="AE1673" s="3"/>
      <c r="AK1673" s="5"/>
    </row>
    <row r="1674" spans="2:37" x14ac:dyDescent="0.25">
      <c r="B1674" s="1"/>
      <c r="E1674" s="2"/>
      <c r="G1674" s="3"/>
      <c r="H1674" s="3"/>
      <c r="I1674" s="3"/>
      <c r="K1674" s="3"/>
      <c r="L1674" s="3"/>
      <c r="X1674" s="4"/>
      <c r="AD1674" s="3"/>
      <c r="AE1674" s="3"/>
      <c r="AK1674" s="5"/>
    </row>
    <row r="1675" spans="2:37" x14ac:dyDescent="0.25">
      <c r="B1675" s="1"/>
      <c r="E1675" s="2"/>
      <c r="F1675" s="3"/>
      <c r="G1675" s="3"/>
      <c r="H1675" s="3"/>
      <c r="I1675" s="3"/>
      <c r="K1675" s="3"/>
      <c r="L1675" s="3"/>
      <c r="X1675" s="4"/>
      <c r="AE1675" s="3"/>
      <c r="AK1675" s="5"/>
    </row>
    <row r="1676" spans="2:37" x14ac:dyDescent="0.25">
      <c r="B1676" s="1"/>
      <c r="E1676" s="2"/>
      <c r="F1676" s="3"/>
      <c r="G1676" s="3"/>
      <c r="H1676" s="3"/>
      <c r="I1676" s="3"/>
      <c r="K1676" s="3"/>
      <c r="L1676" s="3"/>
      <c r="X1676" s="4"/>
      <c r="AD1676" s="3"/>
      <c r="AE1676" s="3"/>
      <c r="AK1676" s="5"/>
    </row>
    <row r="1677" spans="2:37" x14ac:dyDescent="0.25">
      <c r="B1677" s="1"/>
      <c r="E1677" s="2"/>
      <c r="H1677" s="3"/>
      <c r="I1677" s="3"/>
      <c r="K1677" s="3"/>
      <c r="L1677" s="3"/>
      <c r="X1677" s="4"/>
      <c r="AB1677" s="3"/>
      <c r="AD1677" s="3"/>
      <c r="AE1677" s="3"/>
      <c r="AK1677" s="5"/>
    </row>
    <row r="1678" spans="2:37" x14ac:dyDescent="0.25">
      <c r="B1678" s="1"/>
      <c r="E1678" s="2"/>
      <c r="F1678" s="3"/>
      <c r="G1678" s="3"/>
      <c r="H1678" s="3"/>
      <c r="I1678" s="3"/>
      <c r="K1678" s="3"/>
      <c r="L1678" s="3"/>
      <c r="X1678" s="4"/>
      <c r="Z1678" s="3"/>
      <c r="AB1678" s="3"/>
      <c r="AD1678" s="3"/>
      <c r="AE1678" s="3"/>
      <c r="AK1678" s="5"/>
    </row>
    <row r="1679" spans="2:37" x14ac:dyDescent="0.25">
      <c r="B1679" s="1"/>
      <c r="E1679" s="2"/>
      <c r="H1679" s="3"/>
      <c r="I1679" s="3"/>
      <c r="K1679" s="3"/>
      <c r="L1679" s="3"/>
      <c r="X1679" s="4"/>
      <c r="Z1679" s="3"/>
      <c r="AD1679" s="3"/>
      <c r="AE1679" s="3"/>
      <c r="AK1679" s="5"/>
    </row>
    <row r="1680" spans="2:37" x14ac:dyDescent="0.25">
      <c r="B1680" s="1"/>
      <c r="D1680" s="3"/>
      <c r="E1680" s="2"/>
      <c r="H1680" s="3"/>
      <c r="I1680" s="3"/>
      <c r="K1680" s="3"/>
      <c r="L1680" s="3"/>
      <c r="X1680" s="4"/>
      <c r="Z1680" s="3"/>
      <c r="AB1680" s="3"/>
      <c r="AD1680" s="3"/>
      <c r="AE1680" s="3"/>
      <c r="AK1680" s="5"/>
    </row>
    <row r="1681" spans="2:37" x14ac:dyDescent="0.25">
      <c r="B1681" s="1"/>
      <c r="E1681" s="2"/>
      <c r="H1681" s="3"/>
      <c r="I1681" s="3"/>
      <c r="K1681" s="3"/>
      <c r="L1681" s="3"/>
      <c r="X1681" s="4"/>
      <c r="AD1681" s="3"/>
      <c r="AE1681" s="3"/>
      <c r="AK1681" s="5"/>
    </row>
    <row r="1682" spans="2:37" x14ac:dyDescent="0.25">
      <c r="B1682" s="1"/>
      <c r="E1682" s="2"/>
      <c r="F1682" s="3"/>
      <c r="G1682" s="3"/>
      <c r="H1682" s="3"/>
      <c r="I1682" s="3"/>
      <c r="K1682" s="3"/>
      <c r="L1682" s="3"/>
      <c r="X1682" s="4"/>
      <c r="AD1682" s="3"/>
      <c r="AE1682" s="3"/>
      <c r="AK1682" s="5"/>
    </row>
    <row r="1683" spans="2:37" x14ac:dyDescent="0.25">
      <c r="B1683" s="1"/>
      <c r="E1683" s="2"/>
      <c r="G1683" s="3"/>
      <c r="H1683" s="3"/>
      <c r="I1683" s="3"/>
      <c r="K1683" s="3"/>
      <c r="L1683" s="3"/>
      <c r="X1683" s="4"/>
      <c r="AB1683" s="3"/>
      <c r="AD1683" s="3"/>
      <c r="AE1683" s="3"/>
      <c r="AK1683" s="5"/>
    </row>
    <row r="1684" spans="2:37" x14ac:dyDescent="0.25">
      <c r="B1684" s="3"/>
      <c r="E1684" s="2"/>
      <c r="F1684" s="3"/>
      <c r="G1684" s="3"/>
      <c r="H1684" s="3"/>
      <c r="I1684" s="3"/>
      <c r="K1684" s="3"/>
      <c r="L1684" s="3"/>
      <c r="X1684" s="4"/>
      <c r="AB1684" s="3"/>
      <c r="AD1684" s="3"/>
      <c r="AE1684" s="3"/>
      <c r="AK1684" s="5"/>
    </row>
    <row r="1685" spans="2:37" x14ac:dyDescent="0.25">
      <c r="B1685" s="1"/>
      <c r="E1685" s="2"/>
      <c r="H1685" s="3"/>
      <c r="I1685" s="3"/>
      <c r="K1685" s="3"/>
      <c r="L1685" s="3"/>
      <c r="X1685" s="4"/>
      <c r="AE1685" s="3"/>
      <c r="AK1685" s="5"/>
    </row>
    <row r="1686" spans="2:37" x14ac:dyDescent="0.25">
      <c r="B1686" s="1"/>
      <c r="D1686" s="3"/>
      <c r="E1686" s="2"/>
      <c r="G1686" s="3"/>
      <c r="H1686" s="3"/>
      <c r="I1686" s="3"/>
      <c r="K1686" s="3"/>
      <c r="L1686" s="3"/>
      <c r="X1686" s="4"/>
      <c r="AA1686" s="3"/>
      <c r="AD1686" s="3"/>
      <c r="AE1686" s="3"/>
      <c r="AK1686" s="5"/>
    </row>
    <row r="1687" spans="2:37" x14ac:dyDescent="0.25">
      <c r="B1687" s="1"/>
      <c r="E1687" s="2"/>
      <c r="H1687" s="3"/>
      <c r="I1687" s="3"/>
      <c r="K1687" s="3"/>
      <c r="L1687" s="3"/>
      <c r="X1687" s="4"/>
      <c r="Z1687" s="3"/>
      <c r="AD1687" s="3"/>
      <c r="AE1687" s="3"/>
      <c r="AK1687" s="5"/>
    </row>
    <row r="1688" spans="2:37" x14ac:dyDescent="0.25">
      <c r="B1688" s="1"/>
      <c r="E1688" s="2"/>
      <c r="H1688" s="3"/>
      <c r="I1688" s="3"/>
      <c r="K1688" s="3"/>
      <c r="L1688" s="3"/>
      <c r="X1688" s="4"/>
      <c r="Z1688" s="3"/>
      <c r="AD1688" s="3"/>
      <c r="AE1688" s="3"/>
      <c r="AK1688" s="5"/>
    </row>
    <row r="1689" spans="2:37" x14ac:dyDescent="0.25">
      <c r="B1689" s="1"/>
      <c r="E1689" s="2"/>
      <c r="H1689" s="3"/>
      <c r="I1689" s="3"/>
      <c r="K1689" s="3"/>
      <c r="L1689" s="3"/>
      <c r="X1689" s="4"/>
      <c r="AD1689" s="3"/>
      <c r="AE1689" s="3"/>
      <c r="AK1689" s="5"/>
    </row>
    <row r="1690" spans="2:37" x14ac:dyDescent="0.25">
      <c r="B1690" s="1"/>
      <c r="E1690" s="2"/>
      <c r="G1690" s="3"/>
      <c r="H1690" s="3"/>
      <c r="I1690" s="3"/>
      <c r="K1690" s="3"/>
      <c r="L1690" s="3"/>
      <c r="X1690" s="4"/>
      <c r="AD1690" s="3"/>
      <c r="AE1690" s="3"/>
      <c r="AK1690" s="5"/>
    </row>
    <row r="1691" spans="2:37" x14ac:dyDescent="0.25">
      <c r="B1691" s="1"/>
      <c r="E1691" s="2"/>
      <c r="H1691" s="3"/>
      <c r="I1691" s="3"/>
      <c r="K1691" s="3"/>
      <c r="L1691" s="3"/>
      <c r="X1691" s="4"/>
      <c r="AD1691" s="3"/>
      <c r="AE1691" s="3"/>
      <c r="AK1691" s="5"/>
    </row>
    <row r="1692" spans="2:37" x14ac:dyDescent="0.25">
      <c r="B1692" s="1"/>
      <c r="D1692" s="3"/>
      <c r="E1692" s="2"/>
      <c r="G1692" s="3"/>
      <c r="H1692" s="3"/>
      <c r="I1692" s="3"/>
      <c r="K1692" s="3"/>
      <c r="L1692" s="3"/>
      <c r="X1692" s="4"/>
      <c r="AD1692" s="3"/>
      <c r="AE1692" s="3"/>
      <c r="AK1692" s="5"/>
    </row>
    <row r="1693" spans="2:37" x14ac:dyDescent="0.25">
      <c r="B1693" s="1"/>
      <c r="E1693" s="2"/>
      <c r="G1693" s="3"/>
      <c r="H1693" s="3"/>
      <c r="I1693" s="3"/>
      <c r="K1693" s="3"/>
      <c r="L1693" s="3"/>
      <c r="X1693" s="4"/>
      <c r="AA1693" s="3"/>
      <c r="AB1693" s="3"/>
      <c r="AD1693" s="3"/>
      <c r="AE1693" s="3"/>
      <c r="AK1693" s="5"/>
    </row>
    <row r="1694" spans="2:37" x14ac:dyDescent="0.25">
      <c r="B1694" s="1"/>
      <c r="E1694" s="2"/>
      <c r="G1694" s="3"/>
      <c r="H1694" s="3"/>
      <c r="I1694" s="3"/>
      <c r="K1694" s="3"/>
      <c r="L1694" s="3"/>
      <c r="X1694" s="4"/>
      <c r="AB1694" s="3"/>
      <c r="AD1694" s="3"/>
      <c r="AE1694" s="3"/>
      <c r="AK1694" s="5"/>
    </row>
    <row r="1695" spans="2:37" x14ac:dyDescent="0.25">
      <c r="B1695" s="1"/>
      <c r="E1695" s="2"/>
      <c r="H1695" s="3"/>
      <c r="I1695" s="3"/>
      <c r="K1695" s="3"/>
      <c r="L1695" s="3"/>
      <c r="X1695" s="4"/>
      <c r="Z1695" s="3"/>
      <c r="AD1695" s="3"/>
      <c r="AE1695" s="3"/>
      <c r="AK1695" s="5"/>
    </row>
    <row r="1696" spans="2:37" x14ac:dyDescent="0.25">
      <c r="B1696" s="1"/>
      <c r="E1696" s="2"/>
      <c r="H1696" s="3"/>
      <c r="I1696" s="3"/>
      <c r="K1696" s="3"/>
      <c r="L1696" s="3"/>
      <c r="X1696" s="4"/>
      <c r="Z1696" s="3"/>
      <c r="AE1696" s="3"/>
      <c r="AK1696" s="5"/>
    </row>
    <row r="1697" spans="2:37" x14ac:dyDescent="0.25">
      <c r="B1697" s="1"/>
      <c r="E1697" s="2"/>
      <c r="G1697" s="3"/>
      <c r="H1697" s="3"/>
      <c r="I1697" s="3"/>
      <c r="K1697" s="3"/>
      <c r="L1697" s="3"/>
      <c r="X1697" s="4"/>
      <c r="AK1697" s="5"/>
    </row>
    <row r="1698" spans="2:37" x14ac:dyDescent="0.25">
      <c r="B1698" s="1"/>
      <c r="D1698" s="3"/>
      <c r="E1698" s="2"/>
      <c r="G1698" s="3"/>
      <c r="H1698" s="3"/>
      <c r="I1698" s="3"/>
      <c r="K1698" s="3"/>
      <c r="L1698" s="3"/>
      <c r="X1698" s="4"/>
      <c r="AB1698" s="3"/>
      <c r="AE1698" s="3"/>
      <c r="AK1698" s="5"/>
    </row>
    <row r="1699" spans="2:37" x14ac:dyDescent="0.25">
      <c r="B1699" s="1"/>
      <c r="E1699" s="2"/>
      <c r="H1699" s="3"/>
      <c r="I1699" s="3"/>
      <c r="K1699" s="3"/>
      <c r="L1699" s="3"/>
      <c r="X1699" s="4"/>
      <c r="AB1699" s="3"/>
      <c r="AE1699" s="3"/>
      <c r="AK1699" s="5"/>
    </row>
    <row r="1700" spans="2:37" x14ac:dyDescent="0.25">
      <c r="B1700" s="1"/>
      <c r="D1700" s="3"/>
      <c r="E1700" s="2"/>
      <c r="G1700" s="3"/>
      <c r="H1700" s="3"/>
      <c r="I1700" s="3"/>
      <c r="K1700" s="3"/>
      <c r="L1700" s="3"/>
      <c r="X1700" s="4"/>
      <c r="AD1700" s="3"/>
      <c r="AE1700" s="3"/>
      <c r="AK1700" s="5"/>
    </row>
    <row r="1701" spans="2:37" x14ac:dyDescent="0.25">
      <c r="B1701" s="1"/>
      <c r="E1701" s="2"/>
      <c r="G1701" s="3"/>
      <c r="H1701" s="3"/>
      <c r="I1701" s="3"/>
      <c r="K1701" s="3"/>
      <c r="L1701" s="3"/>
      <c r="X1701" s="4"/>
      <c r="AK1701" s="5"/>
    </row>
    <row r="1702" spans="2:37" x14ac:dyDescent="0.25">
      <c r="B1702" s="1"/>
      <c r="E1702" s="2"/>
      <c r="G1702" s="3"/>
      <c r="H1702" s="3"/>
      <c r="I1702" s="3"/>
      <c r="K1702" s="3"/>
      <c r="L1702" s="3"/>
      <c r="X1702" s="4"/>
      <c r="Z1702" s="3"/>
      <c r="AE1702" s="3"/>
      <c r="AK1702" s="5"/>
    </row>
    <row r="1703" spans="2:37" x14ac:dyDescent="0.25">
      <c r="B1703" s="1"/>
      <c r="E1703" s="2"/>
      <c r="H1703" s="3"/>
      <c r="I1703" s="3"/>
      <c r="K1703" s="3"/>
      <c r="L1703" s="3"/>
      <c r="X1703" s="4"/>
      <c r="Z1703" s="3"/>
      <c r="AB1703" s="3"/>
      <c r="AD1703" s="3"/>
      <c r="AE1703" s="3"/>
      <c r="AK1703" s="5"/>
    </row>
    <row r="1704" spans="2:37" x14ac:dyDescent="0.25">
      <c r="B1704" s="1"/>
      <c r="E1704" s="2"/>
      <c r="G1704" s="3"/>
      <c r="H1704" s="3"/>
      <c r="I1704" s="3"/>
      <c r="K1704" s="3"/>
      <c r="L1704" s="3"/>
      <c r="X1704" s="4"/>
      <c r="Z1704" s="3"/>
      <c r="AB1704" s="3"/>
      <c r="AD1704" s="3"/>
      <c r="AE1704" s="3"/>
      <c r="AK1704" s="5"/>
    </row>
    <row r="1705" spans="2:37" x14ac:dyDescent="0.25">
      <c r="B1705" s="3"/>
      <c r="D1705" s="3"/>
      <c r="E1705" s="2"/>
      <c r="G1705" s="3"/>
      <c r="H1705" s="3"/>
      <c r="I1705" s="3"/>
      <c r="K1705" s="3"/>
      <c r="L1705" s="3"/>
      <c r="X1705" s="4"/>
      <c r="Z1705" s="3"/>
      <c r="AD1705" s="3"/>
      <c r="AE1705" s="3"/>
      <c r="AK1705" s="5"/>
    </row>
    <row r="1706" spans="2:37" x14ac:dyDescent="0.25">
      <c r="B1706" s="1"/>
      <c r="E1706" s="2"/>
      <c r="H1706" s="3"/>
      <c r="I1706" s="3"/>
      <c r="K1706" s="3"/>
      <c r="L1706" s="3"/>
      <c r="X1706" s="4"/>
      <c r="Z1706" s="3"/>
      <c r="AD1706" s="3"/>
      <c r="AE1706" s="3"/>
      <c r="AK1706" s="5"/>
    </row>
    <row r="1707" spans="2:37" x14ac:dyDescent="0.25">
      <c r="B1707" s="1"/>
      <c r="E1707" s="2"/>
      <c r="G1707" s="3"/>
      <c r="H1707" s="3"/>
      <c r="I1707" s="3"/>
      <c r="K1707" s="3"/>
      <c r="L1707" s="3"/>
      <c r="X1707" s="4"/>
      <c r="AD1707" s="3"/>
      <c r="AE1707" s="3"/>
      <c r="AK1707" s="5"/>
    </row>
    <row r="1708" spans="2:37" x14ac:dyDescent="0.25">
      <c r="B1708" s="3"/>
      <c r="E1708" s="2"/>
      <c r="G1708" s="3"/>
      <c r="H1708" s="3"/>
      <c r="I1708" s="3"/>
      <c r="K1708" s="3"/>
      <c r="L1708" s="3"/>
      <c r="X1708" s="4"/>
      <c r="AB1708" s="3"/>
      <c r="AD1708" s="3"/>
      <c r="AE1708" s="3"/>
      <c r="AK1708" s="5"/>
    </row>
    <row r="1709" spans="2:37" x14ac:dyDescent="0.25">
      <c r="B1709" s="1"/>
      <c r="E1709" s="2"/>
      <c r="H1709" s="3"/>
      <c r="I1709" s="3"/>
      <c r="K1709" s="3"/>
      <c r="L1709" s="3"/>
      <c r="X1709" s="4"/>
      <c r="AB1709" s="3"/>
      <c r="AD1709" s="3"/>
      <c r="AE1709" s="3"/>
      <c r="AK1709" s="5"/>
    </row>
    <row r="1710" spans="2:37" x14ac:dyDescent="0.25">
      <c r="B1710" s="1"/>
      <c r="E1710" s="2"/>
      <c r="G1710" s="3"/>
      <c r="H1710" s="3"/>
      <c r="I1710" s="3"/>
      <c r="K1710" s="3"/>
      <c r="L1710" s="3"/>
      <c r="X1710" s="4"/>
      <c r="AD1710" s="3"/>
      <c r="AE1710" s="3"/>
      <c r="AK1710" s="5"/>
    </row>
    <row r="1711" spans="2:37" x14ac:dyDescent="0.25">
      <c r="B1711" s="3"/>
      <c r="E1711" s="2"/>
      <c r="G1711" s="3"/>
      <c r="H1711" s="3"/>
      <c r="I1711" s="3"/>
      <c r="K1711" s="3"/>
      <c r="L1711" s="3"/>
      <c r="X1711" s="4"/>
      <c r="AD1711" s="3"/>
      <c r="AE1711" s="3"/>
      <c r="AK1711" s="5"/>
    </row>
    <row r="1712" spans="2:37" x14ac:dyDescent="0.25">
      <c r="B1712" s="1"/>
      <c r="E1712" s="2"/>
      <c r="H1712" s="3"/>
      <c r="I1712" s="3"/>
      <c r="K1712" s="3"/>
      <c r="L1712" s="3"/>
      <c r="X1712" s="4"/>
      <c r="Z1712" s="3"/>
      <c r="AE1712" s="3"/>
      <c r="AK1712" s="5"/>
    </row>
    <row r="1713" spans="2:37" x14ac:dyDescent="0.25">
      <c r="B1713" s="1"/>
      <c r="E1713" s="2"/>
      <c r="H1713" s="3"/>
      <c r="I1713" s="3"/>
      <c r="K1713" s="3"/>
      <c r="L1713" s="3"/>
      <c r="X1713" s="4"/>
      <c r="Z1713" s="3"/>
      <c r="AE1713" s="3"/>
      <c r="AK1713" s="5"/>
    </row>
    <row r="1714" spans="2:37" x14ac:dyDescent="0.25">
      <c r="B1714" s="1"/>
      <c r="D1714" s="3"/>
      <c r="E1714" s="2"/>
      <c r="G1714" s="3"/>
      <c r="H1714" s="3"/>
      <c r="I1714" s="3"/>
      <c r="K1714" s="3"/>
      <c r="L1714" s="3"/>
      <c r="X1714" s="4"/>
      <c r="AK1714" s="5"/>
    </row>
    <row r="1715" spans="2:37" x14ac:dyDescent="0.25">
      <c r="B1715" s="3"/>
      <c r="D1715" s="3"/>
      <c r="E1715" s="2"/>
      <c r="G1715" s="3"/>
      <c r="H1715" s="3"/>
      <c r="I1715" s="3"/>
      <c r="K1715" s="3"/>
      <c r="L1715" s="3"/>
      <c r="X1715" s="4"/>
      <c r="AB1715" s="3"/>
      <c r="AD1715" s="3"/>
      <c r="AE1715" s="3"/>
      <c r="AK1715" s="5"/>
    </row>
    <row r="1716" spans="2:37" x14ac:dyDescent="0.25">
      <c r="B1716" s="1"/>
      <c r="D1716" s="3"/>
      <c r="E1716" s="2"/>
      <c r="G1716" s="3"/>
      <c r="H1716" s="3"/>
      <c r="I1716" s="3"/>
      <c r="K1716" s="3"/>
      <c r="L1716" s="3"/>
      <c r="X1716" s="4"/>
      <c r="AD1716" s="3"/>
      <c r="AE1716" s="3"/>
      <c r="AK1716" s="5"/>
    </row>
    <row r="1717" spans="2:37" x14ac:dyDescent="0.25">
      <c r="B1717" s="1"/>
      <c r="D1717" s="3"/>
      <c r="E1717" s="2"/>
      <c r="G1717" s="3"/>
      <c r="H1717" s="3"/>
      <c r="I1717" s="3"/>
      <c r="K1717" s="3"/>
      <c r="L1717" s="3"/>
      <c r="X1717" s="4"/>
      <c r="AD1717" s="3"/>
      <c r="AE1717" s="3"/>
      <c r="AK1717" s="5"/>
    </row>
    <row r="1718" spans="2:37" x14ac:dyDescent="0.25">
      <c r="B1718" s="1"/>
      <c r="D1718" s="3"/>
      <c r="E1718" s="2"/>
      <c r="G1718" s="3"/>
      <c r="H1718" s="3"/>
      <c r="I1718" s="3"/>
      <c r="K1718" s="3"/>
      <c r="L1718" s="3"/>
      <c r="X1718" s="4"/>
      <c r="Z1718" s="3"/>
      <c r="AB1718" s="3"/>
      <c r="AD1718" s="3"/>
      <c r="AE1718" s="3"/>
      <c r="AK1718" s="5"/>
    </row>
    <row r="1719" spans="2:37" x14ac:dyDescent="0.25">
      <c r="B1719" s="1"/>
      <c r="D1719" s="3"/>
      <c r="E1719" s="2"/>
      <c r="G1719" s="3"/>
      <c r="H1719" s="3"/>
      <c r="I1719" s="3"/>
      <c r="K1719" s="3"/>
      <c r="L1719" s="3"/>
      <c r="X1719" s="4"/>
      <c r="Z1719" s="3"/>
      <c r="AB1719" s="3"/>
      <c r="AD1719" s="3"/>
      <c r="AE1719" s="3"/>
      <c r="AK1719" s="5"/>
    </row>
    <row r="1720" spans="2:37" x14ac:dyDescent="0.25">
      <c r="B1720" s="1"/>
      <c r="D1720" s="3"/>
      <c r="E1720" s="2"/>
      <c r="G1720" s="3"/>
      <c r="H1720" s="3"/>
      <c r="I1720" s="3"/>
      <c r="K1720" s="3"/>
      <c r="L1720" s="3"/>
      <c r="X1720" s="4"/>
      <c r="AB1720" s="3"/>
      <c r="AD1720" s="3"/>
      <c r="AE1720" s="3"/>
      <c r="AK1720" s="5"/>
    </row>
    <row r="1721" spans="2:37" x14ac:dyDescent="0.25">
      <c r="B1721" s="1"/>
      <c r="D1721" s="3"/>
      <c r="E1721" s="2"/>
      <c r="G1721" s="3"/>
      <c r="H1721" s="3"/>
      <c r="I1721" s="3"/>
      <c r="K1721" s="3"/>
      <c r="L1721" s="3"/>
      <c r="X1721" s="4"/>
      <c r="AD1721" s="3"/>
      <c r="AE1721" s="3"/>
      <c r="AK1721" s="5"/>
    </row>
    <row r="1722" spans="2:37" x14ac:dyDescent="0.25">
      <c r="B1722" s="1"/>
      <c r="E1722" s="2"/>
      <c r="G1722" s="3"/>
      <c r="H1722" s="3"/>
      <c r="I1722" s="3"/>
      <c r="K1722" s="3"/>
      <c r="L1722" s="3"/>
      <c r="X1722" s="4"/>
    </row>
    <row r="1723" spans="2:37" x14ac:dyDescent="0.25">
      <c r="B1723" s="3"/>
      <c r="E1723" s="2"/>
      <c r="G1723" s="3"/>
      <c r="H1723" s="3"/>
      <c r="I1723" s="3"/>
      <c r="K1723" s="3"/>
      <c r="L1723" s="3"/>
      <c r="X1723" s="4"/>
    </row>
    <row r="1724" spans="2:37" x14ac:dyDescent="0.25">
      <c r="B1724" s="1"/>
      <c r="D1724" s="3"/>
      <c r="E1724" s="2"/>
      <c r="G1724" s="3"/>
      <c r="H1724" s="3"/>
      <c r="I1724" s="3"/>
      <c r="K1724" s="3"/>
      <c r="L1724" s="3"/>
      <c r="X1724" s="4"/>
    </row>
    <row r="1725" spans="2:37" x14ac:dyDescent="0.25">
      <c r="B1725" s="3"/>
      <c r="D1725" s="3"/>
      <c r="E1725" s="2"/>
      <c r="G1725" s="3"/>
      <c r="H1725" s="3"/>
      <c r="I1725" s="3"/>
      <c r="K1725" s="3"/>
      <c r="L1725" s="3"/>
      <c r="X1725" s="4"/>
      <c r="AK1725" s="5"/>
    </row>
    <row r="1726" spans="2:37" x14ac:dyDescent="0.25">
      <c r="B1726" s="1"/>
      <c r="D1726" s="3"/>
      <c r="E1726" s="2"/>
      <c r="G1726" s="3"/>
      <c r="H1726" s="3"/>
      <c r="I1726" s="3"/>
      <c r="K1726" s="3"/>
      <c r="L1726" s="3"/>
      <c r="X1726" s="4"/>
      <c r="AD1726" s="3"/>
      <c r="AE1726" s="3"/>
      <c r="AK1726" s="5"/>
    </row>
    <row r="1727" spans="2:37" x14ac:dyDescent="0.25">
      <c r="B1727" s="3"/>
      <c r="D1727" s="3"/>
      <c r="E1727" s="2"/>
      <c r="G1727" s="3"/>
      <c r="H1727" s="3"/>
      <c r="I1727" s="3"/>
      <c r="K1727" s="3"/>
      <c r="L1727" s="3"/>
      <c r="X1727" s="4"/>
      <c r="AK1727" s="5"/>
    </row>
    <row r="1728" spans="2:37" x14ac:dyDescent="0.25">
      <c r="B1728" s="1"/>
      <c r="D1728" s="3"/>
      <c r="E1728" s="2"/>
      <c r="F1728" s="3"/>
      <c r="G1728" s="3"/>
      <c r="H1728" s="3"/>
      <c r="I1728" s="3"/>
      <c r="K1728" s="3"/>
      <c r="L1728" s="3"/>
      <c r="X1728" s="4"/>
      <c r="AB1728" s="3"/>
      <c r="AE1728" s="3"/>
      <c r="AK1728" s="5"/>
    </row>
    <row r="1729" spans="2:37" x14ac:dyDescent="0.25">
      <c r="B1729" s="1"/>
      <c r="D1729" s="3"/>
      <c r="E1729" s="2"/>
      <c r="F1729" s="3"/>
      <c r="G1729" s="3"/>
      <c r="H1729" s="3"/>
      <c r="I1729" s="3"/>
      <c r="K1729" s="3"/>
      <c r="L1729" s="3"/>
      <c r="X1729" s="4"/>
      <c r="AB1729" s="3"/>
      <c r="AD1729" s="3"/>
      <c r="AE1729" s="3"/>
      <c r="AK1729" s="5"/>
    </row>
    <row r="1730" spans="2:37" x14ac:dyDescent="0.25">
      <c r="B1730" s="1"/>
      <c r="D1730" s="3"/>
      <c r="E1730" s="2"/>
      <c r="G1730" s="3"/>
      <c r="H1730" s="3"/>
      <c r="I1730" s="3"/>
      <c r="K1730" s="3"/>
      <c r="L1730" s="3"/>
      <c r="X1730" s="4"/>
      <c r="AB1730" s="3"/>
      <c r="AE1730" s="3"/>
      <c r="AK1730" s="5"/>
    </row>
    <row r="1731" spans="2:37" x14ac:dyDescent="0.25">
      <c r="B1731" s="1"/>
      <c r="D1731" s="3"/>
      <c r="E1731" s="2"/>
      <c r="F1731" s="3"/>
      <c r="G1731" s="3"/>
      <c r="H1731" s="3"/>
      <c r="I1731" s="3"/>
      <c r="K1731" s="3"/>
      <c r="L1731" s="3"/>
      <c r="X1731" s="4"/>
      <c r="Z1731" s="3"/>
      <c r="AE1731" s="3"/>
      <c r="AK1731" s="5"/>
    </row>
    <row r="1732" spans="2:37" x14ac:dyDescent="0.25">
      <c r="B1732" s="1"/>
      <c r="E1732" s="2"/>
      <c r="G1732" s="3"/>
      <c r="H1732" s="3"/>
      <c r="I1732" s="3"/>
      <c r="K1732" s="3"/>
      <c r="L1732" s="3"/>
      <c r="X1732" s="4"/>
      <c r="Z1732" s="3"/>
      <c r="AE1732" s="3"/>
      <c r="AK1732" s="5"/>
    </row>
    <row r="1733" spans="2:37" x14ac:dyDescent="0.25">
      <c r="B1733" s="1"/>
      <c r="E1733" s="2"/>
      <c r="G1733" s="3"/>
      <c r="H1733" s="3"/>
      <c r="I1733" s="3"/>
      <c r="K1733" s="3"/>
      <c r="X1733" s="4"/>
    </row>
    <row r="1734" spans="2:37" x14ac:dyDescent="0.25">
      <c r="B1734" s="1"/>
      <c r="E1734" s="2"/>
      <c r="G1734" s="3"/>
      <c r="H1734" s="3"/>
      <c r="I1734" s="3"/>
      <c r="K1734" s="3"/>
      <c r="L1734" s="3"/>
      <c r="X1734" s="4"/>
    </row>
    <row r="1735" spans="2:37" x14ac:dyDescent="0.25">
      <c r="B1735" s="1"/>
      <c r="E1735" s="2"/>
      <c r="G1735" s="3"/>
      <c r="H1735" s="3"/>
      <c r="I1735" s="3"/>
      <c r="K1735" s="3"/>
      <c r="L1735" s="3"/>
      <c r="X1735" s="4"/>
      <c r="AK1735" s="5"/>
    </row>
    <row r="1736" spans="2:37" x14ac:dyDescent="0.25">
      <c r="B1736" s="1"/>
      <c r="E1736" s="2"/>
      <c r="G1736" s="3"/>
      <c r="H1736" s="3"/>
      <c r="I1736" s="3"/>
      <c r="K1736" s="3"/>
      <c r="L1736" s="3"/>
      <c r="X1736" s="4"/>
      <c r="Z1736" s="3"/>
      <c r="AB1736" s="3"/>
      <c r="AE1736" s="3"/>
      <c r="AK1736" s="5"/>
    </row>
    <row r="1737" spans="2:37" x14ac:dyDescent="0.25">
      <c r="B1737" s="1"/>
      <c r="E1737" s="2"/>
      <c r="H1737" s="3"/>
      <c r="I1737" s="3"/>
      <c r="K1737" s="3"/>
      <c r="L1737" s="3"/>
      <c r="X1737" s="4"/>
      <c r="Z1737" s="3"/>
      <c r="AE1737" s="3"/>
      <c r="AK1737" s="5"/>
    </row>
    <row r="1738" spans="2:37" x14ac:dyDescent="0.25">
      <c r="B1738" s="1"/>
      <c r="E1738" s="2"/>
      <c r="F1738" s="3"/>
      <c r="G1738" s="3"/>
      <c r="H1738" s="3"/>
      <c r="I1738" s="3"/>
      <c r="K1738" s="3"/>
      <c r="L1738" s="3"/>
      <c r="X1738" s="4"/>
      <c r="Z1738" s="3"/>
      <c r="AB1738" s="3"/>
      <c r="AE1738" s="3"/>
      <c r="AK1738" s="5"/>
    </row>
    <row r="1739" spans="2:37" x14ac:dyDescent="0.25">
      <c r="B1739" s="1"/>
      <c r="E1739" s="2"/>
      <c r="F1739" s="3"/>
      <c r="G1739" s="3"/>
      <c r="H1739" s="3"/>
      <c r="I1739" s="3"/>
      <c r="K1739" s="3"/>
      <c r="L1739" s="3"/>
      <c r="X1739" s="4"/>
      <c r="Z1739" s="3"/>
      <c r="AB1739" s="3"/>
      <c r="AE1739" s="3"/>
      <c r="AK1739" s="5"/>
    </row>
    <row r="1740" spans="2:37" x14ac:dyDescent="0.25">
      <c r="B1740" s="1"/>
      <c r="E1740" s="2"/>
      <c r="H1740" s="3"/>
      <c r="I1740" s="3"/>
      <c r="K1740" s="3"/>
      <c r="L1740" s="3"/>
      <c r="X1740" s="4"/>
      <c r="AB1740" s="3"/>
      <c r="AD1740" s="3"/>
      <c r="AE1740" s="3"/>
      <c r="AK1740" s="5"/>
    </row>
    <row r="1741" spans="2:37" x14ac:dyDescent="0.25">
      <c r="B1741" s="1"/>
      <c r="D1741" s="3"/>
      <c r="E1741" s="2"/>
      <c r="G1741" s="3"/>
      <c r="H1741" s="3"/>
      <c r="I1741" s="3"/>
      <c r="K1741" s="3"/>
      <c r="L1741" s="3"/>
      <c r="X1741" s="4"/>
      <c r="Z1741" s="3"/>
      <c r="AD1741" s="3"/>
      <c r="AE1741" s="3"/>
      <c r="AK1741" s="5"/>
    </row>
    <row r="1742" spans="2:37" x14ac:dyDescent="0.25">
      <c r="B1742" s="1"/>
      <c r="E1742" s="2"/>
      <c r="H1742" s="3"/>
      <c r="I1742" s="3"/>
      <c r="K1742" s="3"/>
      <c r="L1742" s="3"/>
      <c r="X1742" s="4"/>
      <c r="Z1742" s="3"/>
      <c r="AE1742" s="3"/>
      <c r="AK1742" s="5"/>
    </row>
    <row r="1743" spans="2:37" x14ac:dyDescent="0.25">
      <c r="B1743" s="1"/>
      <c r="E1743" s="2"/>
      <c r="G1743" s="3"/>
      <c r="H1743" s="3"/>
      <c r="I1743" s="3"/>
      <c r="K1743" s="3"/>
      <c r="X1743" s="4"/>
      <c r="AE1743" s="3"/>
      <c r="AK1743" s="5"/>
    </row>
    <row r="1744" spans="2:37" x14ac:dyDescent="0.25">
      <c r="B1744" s="1"/>
      <c r="E1744" s="2"/>
      <c r="H1744" s="3"/>
      <c r="I1744" s="3"/>
      <c r="K1744" s="3"/>
      <c r="L1744" s="3"/>
      <c r="X1744" s="4"/>
      <c r="AB1744" s="3"/>
      <c r="AE1744" s="3"/>
      <c r="AK1744" s="5"/>
    </row>
    <row r="1745" spans="2:37" x14ac:dyDescent="0.25">
      <c r="B1745" s="1"/>
      <c r="E1745" s="2"/>
      <c r="G1745" s="3"/>
      <c r="H1745" s="3"/>
      <c r="I1745" s="3"/>
      <c r="K1745" s="3"/>
      <c r="L1745" s="3"/>
      <c r="X1745" s="4"/>
      <c r="AB1745" s="3"/>
      <c r="AE1745" s="3"/>
      <c r="AK1745" s="5"/>
    </row>
    <row r="1746" spans="2:37" x14ac:dyDescent="0.25">
      <c r="B1746" s="3"/>
      <c r="E1746" s="2"/>
      <c r="G1746" s="3"/>
      <c r="H1746" s="3"/>
      <c r="I1746" s="3"/>
      <c r="K1746" s="3"/>
      <c r="L1746" s="3"/>
      <c r="X1746" s="4"/>
      <c r="Z1746" s="3"/>
      <c r="AE1746" s="3"/>
      <c r="AK1746" s="5"/>
    </row>
    <row r="1747" spans="2:37" x14ac:dyDescent="0.25">
      <c r="B1747" s="1"/>
      <c r="D1747" s="3"/>
      <c r="E1747" s="2"/>
      <c r="G1747" s="3"/>
      <c r="H1747" s="3"/>
      <c r="I1747" s="3"/>
      <c r="K1747" s="3"/>
      <c r="L1747" s="3"/>
      <c r="X1747" s="4"/>
      <c r="Z1747" s="3"/>
      <c r="AE1747" s="3"/>
      <c r="AK1747" s="5"/>
    </row>
    <row r="1748" spans="2:37" x14ac:dyDescent="0.25">
      <c r="B1748" s="1"/>
      <c r="E1748" s="2"/>
      <c r="F1748" s="3"/>
      <c r="G1748" s="3"/>
      <c r="H1748" s="3"/>
      <c r="I1748" s="3"/>
      <c r="K1748" s="3"/>
      <c r="L1748" s="3"/>
      <c r="X1748" s="4"/>
      <c r="AK1748" s="5"/>
    </row>
    <row r="1749" spans="2:37" x14ac:dyDescent="0.25">
      <c r="B1749" s="1"/>
      <c r="D1749" s="3"/>
      <c r="E1749" s="2"/>
      <c r="F1749" s="3"/>
      <c r="G1749" s="3"/>
      <c r="H1749" s="3"/>
      <c r="I1749" s="3"/>
      <c r="K1749" s="3"/>
      <c r="L1749" s="3"/>
      <c r="X1749" s="4"/>
      <c r="Z1749" s="3"/>
      <c r="AB1749" s="3"/>
      <c r="AE1749" s="3"/>
      <c r="AK1749" s="5"/>
    </row>
    <row r="1750" spans="2:37" x14ac:dyDescent="0.25">
      <c r="B1750" s="1"/>
      <c r="E1750" s="2"/>
      <c r="G1750" s="3"/>
      <c r="H1750" s="3"/>
      <c r="I1750" s="3"/>
      <c r="K1750" s="3"/>
      <c r="L1750" s="3"/>
      <c r="X1750" s="4"/>
      <c r="AB1750" s="3"/>
      <c r="AD1750" s="3"/>
      <c r="AE1750" s="3"/>
      <c r="AK1750" s="5"/>
    </row>
    <row r="1751" spans="2:37" x14ac:dyDescent="0.25">
      <c r="B1751" s="1"/>
      <c r="D1751" s="3"/>
      <c r="E1751" s="2"/>
      <c r="G1751" s="3"/>
      <c r="H1751" s="3"/>
      <c r="I1751" s="3"/>
      <c r="K1751" s="3"/>
      <c r="L1751" s="3"/>
      <c r="X1751" s="4"/>
      <c r="AD1751" s="3"/>
      <c r="AE1751" s="3"/>
      <c r="AK1751" s="5"/>
    </row>
    <row r="1752" spans="2:37" x14ac:dyDescent="0.25">
      <c r="B1752" s="1"/>
      <c r="D1752" s="3"/>
      <c r="E1752" s="2"/>
      <c r="G1752" s="3"/>
      <c r="H1752" s="3"/>
      <c r="I1752" s="3"/>
      <c r="K1752" s="3"/>
      <c r="L1752" s="3"/>
      <c r="X1752" s="4"/>
      <c r="AD1752" s="3"/>
      <c r="AE1752" s="3"/>
      <c r="AK1752" s="5"/>
    </row>
    <row r="1753" spans="2:37" x14ac:dyDescent="0.25">
      <c r="B1753" s="1"/>
      <c r="E1753" s="2"/>
      <c r="G1753" s="3"/>
      <c r="H1753" s="3"/>
      <c r="I1753" s="3"/>
      <c r="K1753" s="3"/>
      <c r="L1753" s="3"/>
      <c r="X1753" s="4"/>
      <c r="Z1753" s="3"/>
      <c r="AB1753" s="3"/>
      <c r="AD1753" s="3"/>
      <c r="AE1753" s="3"/>
      <c r="AK1753" s="5"/>
    </row>
    <row r="1754" spans="2:37" x14ac:dyDescent="0.25">
      <c r="B1754" s="1"/>
      <c r="E1754" s="2"/>
      <c r="H1754" s="3"/>
      <c r="I1754" s="3"/>
      <c r="K1754" s="3"/>
      <c r="L1754" s="3"/>
      <c r="X1754" s="4"/>
      <c r="Z1754" s="3"/>
      <c r="AB1754" s="3"/>
      <c r="AE1754" s="3"/>
      <c r="AK1754" s="5"/>
    </row>
    <row r="1755" spans="2:37" x14ac:dyDescent="0.25">
      <c r="B1755" s="1"/>
      <c r="E1755" s="2"/>
      <c r="G1755" s="3"/>
      <c r="H1755" s="3"/>
      <c r="I1755" s="3"/>
      <c r="K1755" s="3"/>
      <c r="L1755" s="3"/>
      <c r="X1755" s="4"/>
      <c r="AB1755" s="3"/>
      <c r="AE1755" s="3"/>
      <c r="AK1755" s="5"/>
    </row>
    <row r="1756" spans="2:37" x14ac:dyDescent="0.25">
      <c r="B1756" s="1"/>
      <c r="E1756" s="2"/>
      <c r="F1756" s="3"/>
      <c r="G1756" s="3"/>
      <c r="H1756" s="3"/>
      <c r="I1756" s="3"/>
      <c r="K1756" s="3"/>
      <c r="L1756" s="3"/>
      <c r="X1756" s="4"/>
    </row>
    <row r="1757" spans="2:37" x14ac:dyDescent="0.25">
      <c r="B1757" s="3"/>
      <c r="E1757" s="2"/>
      <c r="G1757" s="3"/>
      <c r="H1757" s="3"/>
      <c r="I1757" s="3"/>
      <c r="K1757" s="3"/>
      <c r="X1757" s="4"/>
      <c r="AE1757" s="3"/>
      <c r="AK1757" s="5"/>
    </row>
    <row r="1758" spans="2:37" x14ac:dyDescent="0.25">
      <c r="B1758" s="1"/>
      <c r="E1758" s="2"/>
      <c r="G1758" s="3"/>
      <c r="H1758" s="3"/>
      <c r="I1758" s="3"/>
      <c r="K1758" s="3"/>
      <c r="L1758" s="3"/>
      <c r="X1758" s="4"/>
      <c r="Z1758" s="3"/>
      <c r="AE1758" s="3"/>
      <c r="AK1758" s="5"/>
    </row>
    <row r="1759" spans="2:37" x14ac:dyDescent="0.25">
      <c r="B1759" s="1"/>
      <c r="E1759" s="2"/>
      <c r="G1759" s="3"/>
      <c r="H1759" s="3"/>
      <c r="I1759" s="3"/>
      <c r="K1759" s="3"/>
      <c r="L1759" s="3"/>
      <c r="X1759" s="4"/>
      <c r="Z1759" s="3"/>
      <c r="AE1759" s="3"/>
      <c r="AK1759" s="5"/>
    </row>
    <row r="1760" spans="2:37" x14ac:dyDescent="0.25">
      <c r="B1760" s="1"/>
      <c r="E1760" s="2"/>
      <c r="F1760" s="3"/>
      <c r="G1760" s="3"/>
      <c r="H1760" s="3"/>
      <c r="I1760" s="3"/>
      <c r="K1760" s="3"/>
      <c r="L1760" s="3"/>
      <c r="X1760" s="4"/>
      <c r="Z1760" s="3"/>
      <c r="AE1760" s="3"/>
      <c r="AK1760" s="5"/>
    </row>
    <row r="1761" spans="2:37" x14ac:dyDescent="0.25">
      <c r="B1761" s="1"/>
      <c r="E1761" s="2"/>
      <c r="F1761" s="3"/>
      <c r="G1761" s="3"/>
      <c r="H1761" s="3"/>
      <c r="I1761" s="3"/>
      <c r="K1761" s="3"/>
      <c r="L1761" s="3"/>
      <c r="X1761" s="4"/>
      <c r="AD1761" s="3"/>
      <c r="AE1761" s="3"/>
      <c r="AK1761" s="5"/>
    </row>
    <row r="1762" spans="2:37" x14ac:dyDescent="0.25">
      <c r="B1762" s="1"/>
      <c r="E1762" s="2"/>
      <c r="F1762" s="3"/>
      <c r="G1762" s="3"/>
      <c r="H1762" s="3"/>
      <c r="I1762" s="3"/>
      <c r="K1762" s="3"/>
      <c r="L1762" s="3"/>
      <c r="X1762" s="4"/>
      <c r="Z1762" s="3"/>
      <c r="AD1762" s="3"/>
      <c r="AE1762" s="3"/>
      <c r="AK1762" s="5"/>
    </row>
    <row r="1763" spans="2:37" x14ac:dyDescent="0.25">
      <c r="B1763" s="1"/>
      <c r="E1763" s="2"/>
      <c r="F1763" s="3"/>
      <c r="G1763" s="3"/>
      <c r="H1763" s="3"/>
      <c r="I1763" s="3"/>
      <c r="K1763" s="3"/>
      <c r="L1763" s="3"/>
      <c r="X1763" s="4"/>
      <c r="Z1763" s="3"/>
      <c r="AB1763" s="3"/>
      <c r="AE1763" s="3"/>
      <c r="AK1763" s="5"/>
    </row>
    <row r="1764" spans="2:37" x14ac:dyDescent="0.25">
      <c r="B1764" s="1"/>
      <c r="D1764" s="3"/>
      <c r="E1764" s="2"/>
      <c r="H1764" s="3"/>
      <c r="I1764" s="3"/>
      <c r="K1764" s="3"/>
      <c r="X1764" s="4"/>
    </row>
    <row r="1765" spans="2:37" x14ac:dyDescent="0.25">
      <c r="B1765" s="1"/>
      <c r="E1765" s="2"/>
      <c r="H1765" s="3"/>
      <c r="I1765" s="3"/>
      <c r="K1765" s="3"/>
      <c r="L1765" s="3"/>
      <c r="X1765" s="4"/>
      <c r="AA1765" s="3"/>
      <c r="AE1765" s="3"/>
      <c r="AK1765" s="5"/>
    </row>
    <row r="1766" spans="2:37" x14ac:dyDescent="0.25">
      <c r="B1766" s="1"/>
      <c r="E1766" s="2"/>
      <c r="G1766" s="3"/>
      <c r="H1766" s="3"/>
      <c r="I1766" s="3"/>
      <c r="K1766" s="3"/>
      <c r="L1766" s="3"/>
      <c r="X1766" s="4"/>
      <c r="Z1766" s="3"/>
      <c r="AA1766" s="3"/>
      <c r="AE1766" s="3"/>
      <c r="AK1766" s="5"/>
    </row>
    <row r="1767" spans="2:37" x14ac:dyDescent="0.25">
      <c r="B1767" s="1"/>
      <c r="E1767" s="2"/>
      <c r="G1767" s="3"/>
      <c r="H1767" s="3"/>
      <c r="I1767" s="3"/>
      <c r="K1767" s="3"/>
      <c r="L1767" s="3"/>
      <c r="X1767" s="4"/>
      <c r="Z1767" s="3"/>
      <c r="AE1767" s="3"/>
      <c r="AK1767" s="5"/>
    </row>
    <row r="1768" spans="2:37" x14ac:dyDescent="0.25">
      <c r="B1768" s="1"/>
      <c r="D1768" s="3"/>
      <c r="E1768" s="2"/>
      <c r="G1768" s="3"/>
      <c r="H1768" s="3"/>
      <c r="I1768" s="3"/>
      <c r="K1768" s="3"/>
      <c r="X1768" s="4"/>
      <c r="AE1768" s="3"/>
      <c r="AK1768" s="5"/>
    </row>
    <row r="1769" spans="2:37" x14ac:dyDescent="0.25">
      <c r="B1769" s="1"/>
      <c r="E1769" s="2"/>
      <c r="H1769" s="3"/>
      <c r="I1769" s="3"/>
      <c r="K1769" s="3"/>
      <c r="L1769" s="3"/>
      <c r="X1769" s="4"/>
    </row>
    <row r="1770" spans="2:37" x14ac:dyDescent="0.25">
      <c r="B1770" s="1"/>
      <c r="E1770" s="2"/>
      <c r="F1770" s="3"/>
      <c r="G1770" s="3"/>
      <c r="H1770" s="3"/>
      <c r="I1770" s="3"/>
      <c r="K1770" s="3"/>
      <c r="L1770" s="3"/>
      <c r="X1770" s="4"/>
    </row>
    <row r="1771" spans="2:37" x14ac:dyDescent="0.25">
      <c r="B1771" s="3"/>
      <c r="E1771" s="2"/>
      <c r="G1771" s="3"/>
      <c r="H1771" s="3"/>
      <c r="I1771" s="3"/>
      <c r="K1771" s="3"/>
      <c r="L1771" s="3"/>
      <c r="X1771" s="4"/>
      <c r="Z1771" s="3"/>
      <c r="AE1771" s="3"/>
      <c r="AK1771" s="5"/>
    </row>
    <row r="1772" spans="2:37" x14ac:dyDescent="0.25">
      <c r="B1772" s="1"/>
      <c r="E1772" s="2"/>
      <c r="F1772" s="3"/>
      <c r="G1772" s="3"/>
      <c r="H1772" s="3"/>
      <c r="I1772" s="3"/>
      <c r="K1772" s="3"/>
      <c r="L1772" s="3"/>
      <c r="X1772" s="4"/>
      <c r="AE1772" s="3"/>
      <c r="AK1772" s="5"/>
    </row>
    <row r="1773" spans="2:37" x14ac:dyDescent="0.25">
      <c r="B1773" s="1"/>
      <c r="D1773" s="3"/>
      <c r="E1773" s="2"/>
      <c r="G1773" s="3"/>
      <c r="H1773" s="3"/>
      <c r="I1773" s="3"/>
      <c r="K1773" s="3"/>
      <c r="L1773" s="3"/>
      <c r="X1773" s="4"/>
      <c r="AB1773" s="3"/>
      <c r="AE1773" s="3"/>
    </row>
    <row r="1774" spans="2:37" x14ac:dyDescent="0.25">
      <c r="B1774" s="1"/>
      <c r="D1774" s="3"/>
      <c r="E1774" s="2"/>
      <c r="G1774" s="3"/>
      <c r="H1774" s="3"/>
      <c r="I1774" s="3"/>
      <c r="K1774" s="3"/>
      <c r="L1774" s="3"/>
      <c r="X1774" s="4"/>
    </row>
    <row r="1775" spans="2:37" x14ac:dyDescent="0.25">
      <c r="B1775" s="1"/>
      <c r="E1775" s="2"/>
      <c r="G1775" s="3"/>
      <c r="H1775" s="3"/>
      <c r="I1775" s="3"/>
      <c r="K1775" s="3"/>
      <c r="L1775" s="3"/>
      <c r="X1775" s="4"/>
      <c r="AA1775" s="3"/>
      <c r="AE1775" s="3"/>
      <c r="AK1775" s="5"/>
    </row>
    <row r="1776" spans="2:37" x14ac:dyDescent="0.25">
      <c r="B1776" s="1"/>
      <c r="E1776" s="2"/>
      <c r="H1776" s="3"/>
      <c r="I1776" s="3"/>
      <c r="K1776" s="3"/>
      <c r="L1776" s="3"/>
      <c r="X1776" s="4"/>
      <c r="Z1776" s="3"/>
      <c r="AE1776" s="3"/>
      <c r="AK1776" s="5"/>
    </row>
    <row r="1777" spans="2:37" x14ac:dyDescent="0.25">
      <c r="B1777" s="1"/>
      <c r="D1777" s="3"/>
      <c r="E1777" s="2"/>
      <c r="G1777" s="3"/>
      <c r="H1777" s="3"/>
      <c r="I1777" s="3"/>
      <c r="K1777" s="3"/>
      <c r="L1777" s="3"/>
      <c r="X1777" s="4"/>
    </row>
    <row r="1778" spans="2:37" x14ac:dyDescent="0.25">
      <c r="B1778" s="1"/>
      <c r="D1778" s="3"/>
      <c r="E1778" s="2"/>
      <c r="G1778" s="3"/>
      <c r="H1778" s="3"/>
      <c r="I1778" s="3"/>
      <c r="K1778" s="3"/>
      <c r="L1778" s="3"/>
      <c r="X1778" s="4"/>
      <c r="Z1778" s="3"/>
      <c r="AK1778" s="5"/>
    </row>
    <row r="1779" spans="2:37" x14ac:dyDescent="0.25">
      <c r="B1779" s="1"/>
      <c r="D1779" s="3"/>
      <c r="E1779" s="2"/>
      <c r="G1779" s="3"/>
      <c r="H1779" s="3"/>
      <c r="I1779" s="3"/>
      <c r="K1779" s="3"/>
      <c r="L1779" s="3"/>
      <c r="X1779" s="4"/>
      <c r="Z1779" s="3"/>
      <c r="AB1779" s="3"/>
      <c r="AE1779" s="3"/>
      <c r="AK1779" s="5"/>
    </row>
    <row r="1780" spans="2:37" x14ac:dyDescent="0.25">
      <c r="B1780" s="1"/>
      <c r="E1780" s="2"/>
      <c r="G1780" s="3"/>
      <c r="H1780" s="3"/>
      <c r="I1780" s="3"/>
      <c r="K1780" s="3"/>
      <c r="L1780" s="3"/>
      <c r="X1780" s="4"/>
      <c r="AB1780" s="3"/>
      <c r="AE1780" s="3"/>
      <c r="AK1780" s="5"/>
    </row>
    <row r="1781" spans="2:37" x14ac:dyDescent="0.25">
      <c r="B1781" s="1"/>
      <c r="E1781" s="2"/>
      <c r="H1781" s="3"/>
      <c r="I1781" s="3"/>
      <c r="K1781" s="3"/>
      <c r="L1781" s="3"/>
      <c r="X1781" s="4"/>
      <c r="AE1781" s="3"/>
      <c r="AK1781" s="5"/>
    </row>
    <row r="1782" spans="2:37" x14ac:dyDescent="0.25">
      <c r="B1782" s="1"/>
      <c r="C1782" s="3"/>
      <c r="E1782" s="2"/>
      <c r="G1782" s="3"/>
      <c r="H1782" s="3"/>
      <c r="I1782" s="3"/>
      <c r="K1782" s="3"/>
      <c r="L1782" s="3"/>
      <c r="X1782" s="4"/>
    </row>
    <row r="1783" spans="2:37" x14ac:dyDescent="0.25">
      <c r="B1783" s="1"/>
      <c r="D1783" s="3"/>
      <c r="E1783" s="2"/>
      <c r="G1783" s="3"/>
      <c r="X1783" s="4"/>
      <c r="AK1783" s="5"/>
    </row>
    <row r="1784" spans="2:37" x14ac:dyDescent="0.25">
      <c r="B1784" s="1"/>
      <c r="E1784" s="2"/>
      <c r="H1784" s="3"/>
      <c r="I1784" s="3"/>
      <c r="K1784" s="3"/>
      <c r="L1784" s="3"/>
      <c r="X1784" s="4"/>
      <c r="Z1784" s="3"/>
      <c r="AE1784" s="3"/>
      <c r="AK1784" s="5"/>
    </row>
    <row r="1785" spans="2:37" x14ac:dyDescent="0.25">
      <c r="B1785" s="1"/>
      <c r="E1785" s="2"/>
      <c r="H1785" s="3"/>
      <c r="I1785" s="3"/>
      <c r="K1785" s="3"/>
      <c r="L1785" s="3"/>
      <c r="X1785" s="4"/>
      <c r="Z1785" s="3"/>
      <c r="AE1785" s="3"/>
      <c r="AK1785" s="5"/>
    </row>
    <row r="1786" spans="2:37" x14ac:dyDescent="0.25">
      <c r="B1786" s="1"/>
      <c r="E1786" s="2"/>
      <c r="H1786" s="3"/>
      <c r="I1786" s="3"/>
      <c r="K1786" s="3"/>
      <c r="L1786" s="3"/>
      <c r="X1786" s="4"/>
    </row>
    <row r="1787" spans="2:37" x14ac:dyDescent="0.25">
      <c r="B1787" s="1"/>
      <c r="D1787" s="3"/>
      <c r="E1787" s="2"/>
      <c r="G1787" s="3"/>
      <c r="H1787" s="3"/>
      <c r="I1787" s="3"/>
      <c r="K1787" s="3"/>
      <c r="X1787" s="4"/>
    </row>
    <row r="1788" spans="2:37" x14ac:dyDescent="0.25">
      <c r="B1788" s="1"/>
      <c r="E1788" s="2"/>
      <c r="H1788" s="3"/>
      <c r="I1788" s="3"/>
      <c r="K1788" s="3"/>
      <c r="L1788" s="3"/>
      <c r="X1788" s="4"/>
      <c r="Z1788" s="3"/>
      <c r="AK1788" s="5"/>
    </row>
    <row r="1789" spans="2:37" x14ac:dyDescent="0.25">
      <c r="B1789" s="1"/>
      <c r="E1789" s="2"/>
      <c r="H1789" s="3"/>
      <c r="I1789" s="3"/>
      <c r="K1789" s="3"/>
      <c r="L1789" s="3"/>
      <c r="X1789" s="4"/>
      <c r="AB1789" s="3"/>
      <c r="AE1789" s="3"/>
      <c r="AK1789" s="5"/>
    </row>
    <row r="1790" spans="2:37" x14ac:dyDescent="0.25">
      <c r="B1790" s="1"/>
      <c r="E1790" s="2"/>
      <c r="G1790" s="3"/>
      <c r="H1790" s="3"/>
      <c r="I1790" s="3"/>
      <c r="K1790" s="3"/>
      <c r="L1790" s="3"/>
      <c r="X1790" s="4"/>
      <c r="AE1790" s="3"/>
      <c r="AK1790" s="5"/>
    </row>
    <row r="1791" spans="2:37" x14ac:dyDescent="0.25">
      <c r="B1791" s="1"/>
      <c r="E1791" s="2"/>
      <c r="G1791" s="3"/>
      <c r="H1791" s="3"/>
      <c r="I1791" s="3"/>
      <c r="K1791" s="3"/>
      <c r="L1791" s="3"/>
      <c r="X1791" s="4"/>
      <c r="Z1791" s="3"/>
      <c r="AB1791" s="3"/>
      <c r="AE1791" s="3"/>
      <c r="AK1791" s="5"/>
    </row>
    <row r="1792" spans="2:37" x14ac:dyDescent="0.25">
      <c r="B1792" s="1"/>
      <c r="C1792" s="3"/>
      <c r="E1792" s="2"/>
      <c r="G1792" s="3"/>
      <c r="H1792" s="3"/>
      <c r="I1792" s="3"/>
      <c r="K1792" s="3"/>
      <c r="L1792" s="3"/>
      <c r="X1792" s="4"/>
    </row>
    <row r="1793" spans="2:37" x14ac:dyDescent="0.25">
      <c r="B1793" s="3"/>
      <c r="E1793" s="2"/>
      <c r="G1793" s="3"/>
      <c r="X1793" s="4"/>
      <c r="AK1793" s="5"/>
    </row>
    <row r="1794" spans="2:37" x14ac:dyDescent="0.25">
      <c r="B1794" s="1"/>
      <c r="E1794" s="2"/>
      <c r="H1794" s="3"/>
      <c r="I1794" s="3"/>
      <c r="K1794" s="3"/>
      <c r="L1794" s="3"/>
      <c r="X1794" s="4"/>
      <c r="Z1794" s="3"/>
      <c r="AD1794" s="3"/>
      <c r="AE1794" s="3"/>
      <c r="AK1794" s="5"/>
    </row>
    <row r="1795" spans="2:37" x14ac:dyDescent="0.25">
      <c r="B1795" s="1"/>
      <c r="E1795" s="2"/>
      <c r="H1795" s="3"/>
      <c r="I1795" s="3"/>
      <c r="K1795" s="3"/>
      <c r="L1795" s="3"/>
      <c r="X1795" s="4"/>
      <c r="Z1795" s="3"/>
      <c r="AE1795" s="3"/>
      <c r="AK1795" s="5"/>
    </row>
    <row r="1796" spans="2:37" x14ac:dyDescent="0.25">
      <c r="B1796" s="1"/>
      <c r="E1796" s="2"/>
      <c r="G1796" s="3"/>
      <c r="H1796" s="3"/>
      <c r="I1796" s="3"/>
      <c r="K1796" s="3"/>
      <c r="L1796" s="3"/>
      <c r="X1796" s="4"/>
    </row>
    <row r="1797" spans="2:37" x14ac:dyDescent="0.25">
      <c r="B1797" s="1"/>
      <c r="E1797" s="2"/>
      <c r="G1797" s="3"/>
      <c r="H1797" s="3"/>
      <c r="I1797" s="3"/>
      <c r="K1797" s="3"/>
      <c r="L1797" s="3"/>
      <c r="X1797" s="4"/>
    </row>
    <row r="1798" spans="2:37" x14ac:dyDescent="0.25">
      <c r="B1798" s="1"/>
      <c r="E1798" s="2"/>
      <c r="F1798" s="3"/>
      <c r="G1798" s="3"/>
      <c r="H1798" s="3"/>
      <c r="I1798" s="3"/>
      <c r="K1798" s="3"/>
      <c r="X1798" s="4"/>
    </row>
    <row r="1799" spans="2:37" x14ac:dyDescent="0.25">
      <c r="B1799" s="1"/>
      <c r="E1799" s="2"/>
      <c r="H1799" s="3"/>
      <c r="I1799" s="3"/>
      <c r="K1799" s="3"/>
      <c r="X1799" s="4"/>
      <c r="AK1799" s="5"/>
    </row>
    <row r="1800" spans="2:37" x14ac:dyDescent="0.25">
      <c r="B1800" s="1"/>
      <c r="E1800" s="2"/>
      <c r="H1800" s="3"/>
      <c r="I1800" s="3"/>
      <c r="K1800" s="3"/>
      <c r="L1800" s="3"/>
      <c r="X1800" s="4"/>
      <c r="Z1800" s="3"/>
      <c r="AE1800" s="3"/>
      <c r="AK1800" s="5"/>
    </row>
    <row r="1801" spans="2:37" x14ac:dyDescent="0.25">
      <c r="B1801" s="1"/>
      <c r="E1801" s="2"/>
      <c r="G1801" s="3"/>
      <c r="H1801" s="3"/>
      <c r="I1801" s="3"/>
      <c r="K1801" s="3"/>
      <c r="X1801" s="4"/>
      <c r="AK1801" s="5"/>
    </row>
    <row r="1802" spans="2:37" x14ac:dyDescent="0.25">
      <c r="B1802" s="1"/>
      <c r="E1802" s="2"/>
      <c r="H1802" s="3"/>
      <c r="I1802" s="3"/>
      <c r="K1802" s="3"/>
      <c r="L1802" s="3"/>
      <c r="X1802" s="4"/>
      <c r="AE1802" s="3"/>
      <c r="AK1802" s="5"/>
    </row>
    <row r="1803" spans="2:37" x14ac:dyDescent="0.25">
      <c r="B1803" s="1"/>
      <c r="E1803" s="2"/>
      <c r="G1803" s="3"/>
      <c r="H1803" s="3"/>
      <c r="I1803" s="3"/>
      <c r="K1803" s="3"/>
      <c r="X1803" s="4"/>
      <c r="AK1803" s="5"/>
    </row>
    <row r="1804" spans="2:37" x14ac:dyDescent="0.25">
      <c r="B1804" s="1"/>
      <c r="E1804" s="2"/>
      <c r="H1804" s="3"/>
      <c r="I1804" s="3"/>
      <c r="K1804" s="3"/>
      <c r="L1804" s="3"/>
      <c r="X1804" s="4"/>
      <c r="AD1804" s="3"/>
      <c r="AE1804" s="3"/>
      <c r="AK1804" s="5"/>
    </row>
    <row r="1805" spans="2:37" x14ac:dyDescent="0.25">
      <c r="B1805" s="1"/>
      <c r="E1805" s="2"/>
      <c r="H1805" s="3"/>
      <c r="I1805" s="3"/>
      <c r="K1805" s="3"/>
      <c r="X1805" s="4"/>
      <c r="AE1805" s="3"/>
      <c r="AK1805" s="5"/>
    </row>
    <row r="1806" spans="2:37" x14ac:dyDescent="0.25">
      <c r="B1806" s="1"/>
      <c r="E1806" s="2"/>
      <c r="G1806" s="3"/>
      <c r="H1806" s="3"/>
      <c r="I1806" s="3"/>
      <c r="K1806" s="3"/>
      <c r="L1806" s="3"/>
      <c r="M1806" s="5"/>
      <c r="X1806" s="4"/>
    </row>
    <row r="1807" spans="2:37" x14ac:dyDescent="0.25">
      <c r="B1807" s="1"/>
      <c r="E1807" s="2"/>
      <c r="G1807" s="3"/>
      <c r="H1807" s="3"/>
      <c r="I1807" s="3"/>
      <c r="K1807" s="3"/>
      <c r="L1807" s="3"/>
      <c r="X1807" s="4"/>
      <c r="Z1807" s="3"/>
      <c r="AE1807" s="3"/>
      <c r="AK1807" s="5"/>
    </row>
    <row r="1808" spans="2:37" x14ac:dyDescent="0.25">
      <c r="B1808" s="1"/>
      <c r="E1808" s="2"/>
      <c r="H1808" s="3"/>
      <c r="I1808" s="3"/>
      <c r="K1808" s="3"/>
      <c r="L1808" s="3"/>
      <c r="X1808" s="4"/>
      <c r="AB1808" s="3"/>
      <c r="AE1808" s="3"/>
      <c r="AK1808" s="5"/>
    </row>
    <row r="1809" spans="2:37" x14ac:dyDescent="0.25">
      <c r="F1809" s="3"/>
      <c r="G1809" s="3"/>
    </row>
    <row r="1810" spans="2:37" x14ac:dyDescent="0.25">
      <c r="B1810" s="1"/>
      <c r="E1810" s="2"/>
      <c r="H1810" s="3"/>
      <c r="I1810" s="3"/>
      <c r="K1810" s="3"/>
      <c r="X1810" s="4"/>
      <c r="AK1810" s="5"/>
    </row>
    <row r="1811" spans="2:37" x14ac:dyDescent="0.25">
      <c r="B1811" s="1"/>
      <c r="E1811" s="2"/>
      <c r="H1811" s="3"/>
      <c r="I1811" s="3"/>
      <c r="K1811" s="3"/>
      <c r="L1811" s="3"/>
      <c r="X1811" s="4"/>
      <c r="Z1811" s="3"/>
      <c r="AE1811" s="3"/>
      <c r="AK1811" s="5"/>
    </row>
    <row r="1812" spans="2:37" x14ac:dyDescent="0.25">
      <c r="B1812" s="1"/>
      <c r="E1812" s="2"/>
      <c r="H1812" s="3"/>
      <c r="I1812" s="3"/>
      <c r="K1812" s="3"/>
      <c r="X1812" s="4"/>
      <c r="AK1812" s="5"/>
    </row>
    <row r="1813" spans="2:37" x14ac:dyDescent="0.25">
      <c r="B1813" s="1"/>
      <c r="E1813" s="2"/>
      <c r="H1813" s="3"/>
      <c r="I1813" s="3"/>
      <c r="K1813" s="3"/>
      <c r="X1813" s="4"/>
      <c r="AE1813" s="3"/>
      <c r="AK1813" s="5"/>
    </row>
    <row r="1814" spans="2:37" x14ac:dyDescent="0.25">
      <c r="B1814" s="1"/>
      <c r="E1814" s="2"/>
      <c r="H1814" s="3"/>
      <c r="I1814" s="3"/>
      <c r="K1814" s="3"/>
      <c r="X1814" s="4"/>
      <c r="AK1814" s="5"/>
    </row>
    <row r="1815" spans="2:37" x14ac:dyDescent="0.25">
      <c r="B1815" s="1"/>
      <c r="E1815" s="2"/>
      <c r="H1815" s="3"/>
      <c r="I1815" s="3"/>
      <c r="K1815" s="3"/>
      <c r="X1815" s="4"/>
      <c r="AE1815" s="3"/>
      <c r="AK1815" s="5"/>
    </row>
    <row r="1816" spans="2:37" x14ac:dyDescent="0.25">
      <c r="B1816" s="1"/>
      <c r="E1816" s="2"/>
      <c r="H1816" s="3"/>
      <c r="I1816" s="3"/>
      <c r="K1816" s="3"/>
      <c r="X1816" s="4"/>
      <c r="AK1816" s="5"/>
    </row>
    <row r="1817" spans="2:37" x14ac:dyDescent="0.25">
      <c r="B1817" s="1"/>
      <c r="E1817" s="2"/>
      <c r="H1817" s="3"/>
      <c r="I1817" s="3"/>
      <c r="K1817" s="3"/>
      <c r="X1817" s="4"/>
      <c r="AE1817" s="3"/>
      <c r="AK1817" s="5"/>
    </row>
    <row r="1818" spans="2:37" x14ac:dyDescent="0.25">
      <c r="B1818" s="1"/>
      <c r="E1818" s="2"/>
      <c r="H1818" s="3"/>
      <c r="I1818" s="3"/>
      <c r="K1818" s="3"/>
      <c r="L1818" s="3"/>
      <c r="X1818" s="4"/>
    </row>
    <row r="1819" spans="2:37" x14ac:dyDescent="0.25">
      <c r="B1819" s="3"/>
      <c r="G1819" s="3"/>
    </row>
    <row r="1830" spans="7:8" x14ac:dyDescent="0.25">
      <c r="H1830" s="6"/>
    </row>
    <row r="1831" spans="7:8" x14ac:dyDescent="0.25">
      <c r="H1831" s="6"/>
    </row>
    <row r="1832" spans="7:8" x14ac:dyDescent="0.25">
      <c r="G1832" s="3"/>
      <c r="H1832" s="7"/>
    </row>
    <row r="1833" spans="7:8" x14ac:dyDescent="0.25">
      <c r="H1833" s="6"/>
    </row>
    <row r="1834" spans="7:8" x14ac:dyDescent="0.25">
      <c r="H1834" s="6"/>
    </row>
    <row r="1839" spans="7:8" x14ac:dyDescent="0.25">
      <c r="H1839" s="6"/>
    </row>
    <row r="1840" spans="7:8" x14ac:dyDescent="0.25">
      <c r="H1840" s="6"/>
    </row>
    <row r="1841" spans="7:8" x14ac:dyDescent="0.25">
      <c r="G1841" s="3"/>
      <c r="H1841" s="7"/>
    </row>
    <row r="1842" spans="7:8" x14ac:dyDescent="0.25">
      <c r="H1842" s="6"/>
    </row>
    <row r="1843" spans="7:8" x14ac:dyDescent="0.25">
      <c r="H1843" s="6"/>
    </row>
  </sheetData>
  <autoFilter ref="A1:AU215" xr:uid="{5695F443-BC3D-48D0-8CD1-D8C4D00277A1}">
    <filterColumn colId="4">
      <filters>
        <dateGroupItem year="2026" month="2" dateTimeGrouping="month"/>
      </filters>
    </filterColumn>
  </autoFilter>
  <conditionalFormatting sqref="B1:B1823 B1825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3FB9-48F3-41D1-B6BA-29C9EE90DA6F}">
  <dimension ref="A2:E9"/>
  <sheetViews>
    <sheetView tabSelected="1" workbookViewId="0">
      <selection activeCell="A2" sqref="A2:E9"/>
    </sheetView>
  </sheetViews>
  <sheetFormatPr defaultRowHeight="14.3" x14ac:dyDescent="0.25"/>
  <cols>
    <col min="1" max="1" width="15.625" bestFit="1" customWidth="1"/>
    <col min="2" max="2" width="15.375" style="8" bestFit="1" customWidth="1"/>
    <col min="4" max="4" width="15.625" bestFit="1" customWidth="1"/>
    <col min="5" max="5" width="13.875" bestFit="1" customWidth="1"/>
  </cols>
  <sheetData>
    <row r="2" spans="1:5" x14ac:dyDescent="0.25">
      <c r="A2">
        <v>2026</v>
      </c>
      <c r="D2">
        <v>2025</v>
      </c>
    </row>
    <row r="3" spans="1:5" x14ac:dyDescent="0.25">
      <c r="A3" t="s">
        <v>10</v>
      </c>
      <c r="B3" s="11">
        <f>SUBTOTAL(9,Planilha1!K1:K1825)</f>
        <v>597360.66999999981</v>
      </c>
      <c r="D3" t="s">
        <v>10</v>
      </c>
      <c r="E3" s="11">
        <v>602596.14999999991</v>
      </c>
    </row>
    <row r="4" spans="1:5" x14ac:dyDescent="0.25">
      <c r="A4" t="s">
        <v>11</v>
      </c>
      <c r="B4" s="9">
        <f>SUBTOTAL(9,Planilha1!L1:L1820)</f>
        <v>103873.66</v>
      </c>
      <c r="D4" t="s">
        <v>11</v>
      </c>
      <c r="E4" s="9">
        <v>89741.94</v>
      </c>
    </row>
    <row r="5" spans="1:5" x14ac:dyDescent="0.25">
      <c r="A5" s="3" t="s">
        <v>12</v>
      </c>
      <c r="B5" s="12">
        <f>SUBTOTAL(9,Planilha1!M1:M1821)</f>
        <v>46907.729999999996</v>
      </c>
      <c r="D5" t="s">
        <v>12</v>
      </c>
      <c r="E5" s="12">
        <v>44216.9</v>
      </c>
    </row>
    <row r="6" spans="1:5" x14ac:dyDescent="0.25">
      <c r="A6" t="s">
        <v>214</v>
      </c>
      <c r="B6" s="10">
        <f>SUBTOTAL(3,Planilha1!D2:D1821)</f>
        <v>52</v>
      </c>
      <c r="D6" t="s">
        <v>214</v>
      </c>
      <c r="E6" s="10">
        <v>51</v>
      </c>
    </row>
    <row r="7" spans="1:5" x14ac:dyDescent="0.25">
      <c r="A7" t="s">
        <v>217</v>
      </c>
      <c r="B7" s="13">
        <f>B3/B6</f>
        <v>11487.705192307689</v>
      </c>
      <c r="D7" t="s">
        <v>217</v>
      </c>
      <c r="E7" s="13">
        <v>11815.610784313723</v>
      </c>
    </row>
    <row r="8" spans="1:5" x14ac:dyDescent="0.25">
      <c r="A8" t="s">
        <v>216</v>
      </c>
      <c r="B8" s="13">
        <f>B3/B4</f>
        <v>5.7508387593158821</v>
      </c>
      <c r="D8" t="s">
        <v>216</v>
      </c>
      <c r="E8" s="13">
        <v>6.714766250874451</v>
      </c>
    </row>
    <row r="9" spans="1:5" x14ac:dyDescent="0.25">
      <c r="A9" t="s">
        <v>215</v>
      </c>
      <c r="B9" s="13">
        <f>B3/B5</f>
        <v>12.734802344943997</v>
      </c>
      <c r="D9" t="s">
        <v>215</v>
      </c>
      <c r="E9" s="13">
        <v>13.628186281715813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2026-02-17T18:35:51Z</dcterms:modified>
</cp:coreProperties>
</file>