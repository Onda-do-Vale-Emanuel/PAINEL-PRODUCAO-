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0415BD12-CD0C-4AE1-9BAF-3DF194058D26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Planilha1!$A$1:$AU$215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6" i="2"/>
  <c r="B4" i="2"/>
  <c r="B3" i="2"/>
  <c r="B7" i="2" l="1"/>
  <c r="B9" i="2"/>
  <c r="B8" i="2"/>
</calcChain>
</file>

<file path=xl/sharedStrings.xml><?xml version="1.0" encoding="utf-8"?>
<sst xmlns="http://schemas.openxmlformats.org/spreadsheetml/2006/main" count="3639" uniqueCount="226">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</sst>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183" activePane="bottomLeft" state="frozen"/>
      <selection pane="bottomLeft" activeCell="B189" sqref="B189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x14ac:dyDescent="0.25">
      <c r="A22" t="s">
        <v>81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207</v>
      </c>
      <c r="G57" s="3" t="s">
        <v>137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171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138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139</v>
      </c>
      <c r="G60" t="s">
        <v>140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141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142</v>
      </c>
      <c r="X61" s="4">
        <v>0</v>
      </c>
      <c r="Y61" t="s">
        <v>62</v>
      </c>
      <c r="Z61" s="3"/>
      <c r="AE61" s="3"/>
      <c r="AK61" s="5"/>
    </row>
    <row r="62" spans="1:47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143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144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145</v>
      </c>
      <c r="W63" t="s">
        <v>146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144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145</v>
      </c>
      <c r="W64" t="s">
        <v>146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144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145</v>
      </c>
      <c r="W65" t="s">
        <v>146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144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145</v>
      </c>
      <c r="W66" t="s">
        <v>146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144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145</v>
      </c>
      <c r="W67" t="s">
        <v>146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144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145</v>
      </c>
      <c r="W68" t="s">
        <v>146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147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148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147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148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147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148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147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148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141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142</v>
      </c>
      <c r="X79" s="4">
        <v>0</v>
      </c>
      <c r="Y79" t="s">
        <v>62</v>
      </c>
      <c r="AB79" s="3"/>
      <c r="AD79" s="3"/>
      <c r="AE79" s="3"/>
      <c r="AK79" s="5"/>
    </row>
    <row r="80" spans="1:47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143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141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142</v>
      </c>
      <c r="X81" s="4">
        <v>0</v>
      </c>
      <c r="Y81" t="s">
        <v>62</v>
      </c>
      <c r="AB81" s="3"/>
      <c r="AD81" s="3"/>
      <c r="AE81" s="3"/>
      <c r="AK81" s="5"/>
    </row>
    <row r="82" spans="1:47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143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149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149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150</v>
      </c>
      <c r="G87" s="3" t="s">
        <v>151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152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153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154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145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148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207</v>
      </c>
      <c r="G92" s="3" t="s">
        <v>137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171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155</v>
      </c>
      <c r="G94" s="3" t="s">
        <v>156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157</v>
      </c>
      <c r="G95" t="s">
        <v>158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159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160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161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139</v>
      </c>
      <c r="G99" s="3" t="s">
        <v>140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162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163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164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165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152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213</v>
      </c>
      <c r="G107" s="3" t="s">
        <v>137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181</v>
      </c>
      <c r="G109" t="s">
        <v>166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152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181</v>
      </c>
      <c r="G110" t="s">
        <v>166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152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191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164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209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162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152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164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169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175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169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175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211</v>
      </c>
      <c r="G121" t="s">
        <v>167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190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162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142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164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202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186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208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174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185</v>
      </c>
      <c r="G130" t="s">
        <v>167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176</v>
      </c>
      <c r="W130" t="s">
        <v>175</v>
      </c>
      <c r="X130" s="4">
        <v>0</v>
      </c>
      <c r="Y130" t="s">
        <v>62</v>
      </c>
    </row>
    <row r="131" spans="1:47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197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194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178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212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182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195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206</v>
      </c>
      <c r="G146" t="s">
        <v>137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195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188</v>
      </c>
      <c r="G150" t="s">
        <v>189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175</v>
      </c>
      <c r="X150" s="4">
        <v>0</v>
      </c>
      <c r="Y150" t="s">
        <v>62</v>
      </c>
      <c r="AD150" s="3"/>
      <c r="AE150" s="3"/>
      <c r="AK150" s="5"/>
    </row>
    <row r="151" spans="1:47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199</v>
      </c>
      <c r="G152" t="s">
        <v>200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205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170</v>
      </c>
      <c r="X153" s="4">
        <v>0</v>
      </c>
      <c r="Y153" t="s">
        <v>62</v>
      </c>
      <c r="Z153" s="3"/>
      <c r="AE153" s="3"/>
      <c r="AK153" s="5"/>
    </row>
    <row r="154" spans="1:47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203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149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177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149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149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149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173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198</v>
      </c>
      <c r="G163" s="3" t="s">
        <v>189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141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142</v>
      </c>
      <c r="X164" s="4">
        <v>0</v>
      </c>
      <c r="Y164" t="s">
        <v>62</v>
      </c>
      <c r="Z164" s="3"/>
      <c r="AE164" s="3"/>
      <c r="AK164" s="5"/>
    </row>
    <row r="165" spans="1:47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143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165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112</v>
      </c>
      <c r="G167" s="3" t="s">
        <v>113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78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115</v>
      </c>
      <c r="AI167" t="s">
        <v>92</v>
      </c>
      <c r="AJ167" t="s">
        <v>92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101</v>
      </c>
      <c r="G168" t="s">
        <v>94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84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71</v>
      </c>
      <c r="W168" t="s">
        <v>102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103</v>
      </c>
      <c r="AI168" t="s">
        <v>92</v>
      </c>
      <c r="AJ168" t="s">
        <v>92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129</v>
      </c>
      <c r="G169" s="3" t="s">
        <v>130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78</v>
      </c>
      <c r="X169" s="4">
        <v>0</v>
      </c>
      <c r="Y169" t="s">
        <v>62</v>
      </c>
      <c r="AB169" s="3"/>
      <c r="AE169" s="3"/>
      <c r="AK169" s="5"/>
    </row>
    <row r="170" spans="1:47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96</v>
      </c>
      <c r="B171" s="1">
        <v>38530</v>
      </c>
      <c r="C171" t="s">
        <v>48</v>
      </c>
      <c r="D171" t="s">
        <v>49</v>
      </c>
      <c r="E171" s="2">
        <v>46059</v>
      </c>
      <c r="F171" t="s">
        <v>210</v>
      </c>
      <c r="G171" t="s">
        <v>119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95</v>
      </c>
      <c r="X171" s="4">
        <v>0</v>
      </c>
      <c r="Y171" t="s">
        <v>62</v>
      </c>
      <c r="AB171" s="3"/>
      <c r="AK171" s="5"/>
    </row>
    <row r="172" spans="1:47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68</v>
      </c>
      <c r="G173" t="s">
        <v>69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70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71</v>
      </c>
      <c r="W173" t="s">
        <v>72</v>
      </c>
      <c r="X173" s="4">
        <v>0</v>
      </c>
      <c r="Y173" t="s">
        <v>62</v>
      </c>
      <c r="AB173" s="3"/>
      <c r="AK173" s="5"/>
    </row>
    <row r="174" spans="1:47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73</v>
      </c>
      <c r="L174" s="3" t="s">
        <v>73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96</v>
      </c>
      <c r="B175" s="1">
        <v>38532</v>
      </c>
      <c r="C175" t="s">
        <v>48</v>
      </c>
      <c r="D175" t="s">
        <v>49</v>
      </c>
      <c r="E175" s="2">
        <v>46062</v>
      </c>
      <c r="F175" t="s">
        <v>192</v>
      </c>
      <c r="G175" t="s">
        <v>94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193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145</v>
      </c>
      <c r="W175" t="s">
        <v>72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143</v>
      </c>
      <c r="K176" s="3" t="s">
        <v>92</v>
      </c>
      <c r="L176" t="s">
        <v>92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218</v>
      </c>
      <c r="G177" t="s">
        <v>69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194</v>
      </c>
      <c r="X177" s="4">
        <v>0</v>
      </c>
      <c r="Y177" t="s">
        <v>62</v>
      </c>
    </row>
    <row r="178" spans="1:47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80</v>
      </c>
      <c r="L178" t="s">
        <v>73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112</v>
      </c>
      <c r="G179" t="s">
        <v>113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78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115</v>
      </c>
      <c r="AI179" t="s">
        <v>92</v>
      </c>
      <c r="AJ179" t="s">
        <v>92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101</v>
      </c>
      <c r="G180" s="3" t="s">
        <v>94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71</v>
      </c>
      <c r="W180" t="s">
        <v>102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103</v>
      </c>
      <c r="AI180" t="s">
        <v>92</v>
      </c>
      <c r="AJ180" t="s">
        <v>92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96</v>
      </c>
      <c r="B181" s="1">
        <v>38537</v>
      </c>
      <c r="C181" t="s">
        <v>48</v>
      </c>
      <c r="D181" t="s">
        <v>49</v>
      </c>
      <c r="E181" s="2">
        <v>46063</v>
      </c>
      <c r="F181" t="s">
        <v>144</v>
      </c>
      <c r="G181" t="s">
        <v>66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84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145</v>
      </c>
      <c r="W181" t="s">
        <v>146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73</v>
      </c>
      <c r="AJ181" t="s">
        <v>73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96</v>
      </c>
      <c r="B182" s="1">
        <v>38538</v>
      </c>
      <c r="C182" t="s">
        <v>48</v>
      </c>
      <c r="D182" t="s">
        <v>49</v>
      </c>
      <c r="E182" s="2">
        <v>46063</v>
      </c>
      <c r="F182" t="s">
        <v>144</v>
      </c>
      <c r="G182" s="3" t="s">
        <v>66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84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145</v>
      </c>
      <c r="W182" t="s">
        <v>146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73</v>
      </c>
      <c r="AJ182" t="s">
        <v>73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96</v>
      </c>
      <c r="B183" s="1">
        <v>38540</v>
      </c>
      <c r="C183" t="s">
        <v>48</v>
      </c>
      <c r="D183" t="s">
        <v>49</v>
      </c>
      <c r="E183" s="2">
        <v>46063</v>
      </c>
      <c r="F183" t="s">
        <v>183</v>
      </c>
      <c r="G183" t="s">
        <v>184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95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96</v>
      </c>
      <c r="B184" s="3">
        <v>38542</v>
      </c>
      <c r="C184" t="s">
        <v>48</v>
      </c>
      <c r="D184" t="s">
        <v>49</v>
      </c>
      <c r="E184" s="2">
        <v>46063</v>
      </c>
      <c r="F184" t="s">
        <v>219</v>
      </c>
      <c r="G184" s="3" t="s">
        <v>94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72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73</v>
      </c>
      <c r="AJ184" t="s">
        <v>73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136</v>
      </c>
      <c r="B185" s="1">
        <v>38543</v>
      </c>
      <c r="C185" t="s">
        <v>48</v>
      </c>
      <c r="D185" t="s">
        <v>49</v>
      </c>
      <c r="E185" s="2">
        <v>46064</v>
      </c>
      <c r="F185" t="s">
        <v>187</v>
      </c>
      <c r="G185" t="s">
        <v>94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106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99</v>
      </c>
      <c r="W185" t="s">
        <v>134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73</v>
      </c>
      <c r="AJ185" t="s">
        <v>73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96</v>
      </c>
      <c r="B186" s="1">
        <v>38544</v>
      </c>
      <c r="C186" t="s">
        <v>48</v>
      </c>
      <c r="D186" t="s">
        <v>49</v>
      </c>
      <c r="E186" s="2">
        <v>46064</v>
      </c>
      <c r="F186" t="s">
        <v>201</v>
      </c>
      <c r="G186" s="3" t="s">
        <v>69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134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80</v>
      </c>
      <c r="AJ186" t="s">
        <v>73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196</v>
      </c>
      <c r="G187" s="3" t="s">
        <v>87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168</v>
      </c>
      <c r="X187" s="4">
        <v>0</v>
      </c>
      <c r="Y187" t="s">
        <v>62</v>
      </c>
    </row>
    <row r="188" spans="1:47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73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118</v>
      </c>
      <c r="G189" t="s">
        <v>119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77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85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80</v>
      </c>
      <c r="AJ189" t="s">
        <v>73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118</v>
      </c>
      <c r="G190" t="s">
        <v>119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77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85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80</v>
      </c>
      <c r="AJ190" t="s">
        <v>73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96</v>
      </c>
      <c r="B191" s="1">
        <v>38548</v>
      </c>
      <c r="C191" t="s">
        <v>48</v>
      </c>
      <c r="D191" t="s">
        <v>49</v>
      </c>
      <c r="E191" s="2">
        <v>46064</v>
      </c>
      <c r="F191" t="s">
        <v>120</v>
      </c>
      <c r="G191" t="s">
        <v>69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77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121</v>
      </c>
      <c r="W191" t="s">
        <v>122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79</v>
      </c>
      <c r="AI191" t="s">
        <v>73</v>
      </c>
      <c r="AJ191" t="s">
        <v>73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81</v>
      </c>
      <c r="B192" s="1">
        <v>38549</v>
      </c>
      <c r="C192" t="s">
        <v>48</v>
      </c>
      <c r="D192" t="s">
        <v>49</v>
      </c>
      <c r="E192" s="2">
        <v>46064</v>
      </c>
      <c r="F192" t="s">
        <v>116</v>
      </c>
      <c r="G192" s="3" t="s">
        <v>66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84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117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73</v>
      </c>
      <c r="L193" s="3" t="s">
        <v>73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96</v>
      </c>
      <c r="B194" s="1">
        <v>38550</v>
      </c>
      <c r="C194" t="s">
        <v>48</v>
      </c>
      <c r="D194" t="s">
        <v>49</v>
      </c>
      <c r="E194" s="2">
        <v>46064</v>
      </c>
      <c r="F194" t="s">
        <v>165</v>
      </c>
      <c r="G194" s="3" t="s">
        <v>69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152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96</v>
      </c>
      <c r="B195" s="1">
        <v>38551</v>
      </c>
      <c r="C195" t="s">
        <v>48</v>
      </c>
      <c r="D195" t="s">
        <v>49</v>
      </c>
      <c r="E195" s="2">
        <v>46064</v>
      </c>
      <c r="F195" t="s">
        <v>204</v>
      </c>
      <c r="G195" t="s">
        <v>69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95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179</v>
      </c>
      <c r="G196" s="3" t="s">
        <v>119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72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180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96</v>
      </c>
      <c r="B197" s="1">
        <v>38553</v>
      </c>
      <c r="C197" t="s">
        <v>48</v>
      </c>
      <c r="D197" t="s">
        <v>49</v>
      </c>
      <c r="E197" s="2">
        <v>46064</v>
      </c>
      <c r="F197" t="s">
        <v>220</v>
      </c>
      <c r="G197" s="3" t="s">
        <v>172</v>
      </c>
      <c r="H197" s="3">
        <v>2900</v>
      </c>
      <c r="I197" s="3">
        <v>2900</v>
      </c>
      <c r="J197">
        <v>0</v>
      </c>
      <c r="K197" s="3">
        <v>2900</v>
      </c>
      <c r="L197">
        <v>584</v>
      </c>
      <c r="M197" s="3">
        <v>189.8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95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584</v>
      </c>
      <c r="C198">
        <v>0</v>
      </c>
      <c r="D198">
        <v>0</v>
      </c>
      <c r="E198" s="2">
        <v>0</v>
      </c>
      <c r="F198">
        <v>0</v>
      </c>
      <c r="G198" s="3">
        <v>2000</v>
      </c>
      <c r="H198" s="3" t="s">
        <v>54</v>
      </c>
      <c r="I198" s="3" t="s">
        <v>59</v>
      </c>
      <c r="K198" s="3" t="s">
        <v>60</v>
      </c>
      <c r="L198" s="3" t="s">
        <v>60</v>
      </c>
      <c r="M198" s="3">
        <v>46065.756863425922</v>
      </c>
      <c r="Q198" t="s">
        <v>54</v>
      </c>
      <c r="R198">
        <v>0</v>
      </c>
      <c r="T198" t="s">
        <v>54</v>
      </c>
      <c r="U198" t="s">
        <v>54</v>
      </c>
      <c r="V198">
        <v>8730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38554</v>
      </c>
      <c r="C199" t="s">
        <v>48</v>
      </c>
      <c r="D199" t="s">
        <v>49</v>
      </c>
      <c r="E199" s="2">
        <v>46065</v>
      </c>
      <c r="F199" t="s">
        <v>126</v>
      </c>
      <c r="G199" t="s">
        <v>89</v>
      </c>
      <c r="H199" s="3">
        <v>6887</v>
      </c>
      <c r="I199" s="3">
        <v>6887</v>
      </c>
      <c r="J199">
        <v>0</v>
      </c>
      <c r="K199" s="3">
        <v>7920.05</v>
      </c>
      <c r="L199" s="3">
        <v>763.9</v>
      </c>
      <c r="M199" s="3">
        <v>487.37</v>
      </c>
      <c r="N199" t="s">
        <v>84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9</v>
      </c>
      <c r="V199" t="s">
        <v>71</v>
      </c>
      <c r="W199" t="s">
        <v>95</v>
      </c>
      <c r="X199" s="4">
        <v>0</v>
      </c>
      <c r="Y199" t="s">
        <v>58</v>
      </c>
      <c r="Z199" s="3">
        <v>0</v>
      </c>
      <c r="AA199">
        <v>0</v>
      </c>
      <c r="AB199">
        <v>763.9</v>
      </c>
      <c r="AC199">
        <v>0</v>
      </c>
      <c r="AD199">
        <v>0</v>
      </c>
      <c r="AE199" s="3">
        <v>800</v>
      </c>
      <c r="AF199" t="s">
        <v>54</v>
      </c>
      <c r="AG199" t="s">
        <v>59</v>
      </c>
      <c r="AI199" t="s">
        <v>221</v>
      </c>
      <c r="AJ199" t="s">
        <v>92</v>
      </c>
      <c r="AK199" s="5">
        <v>46065.630474537036</v>
      </c>
      <c r="AO199" t="s">
        <v>54</v>
      </c>
      <c r="AP199">
        <v>0</v>
      </c>
      <c r="AR199" t="s">
        <v>54</v>
      </c>
      <c r="AS199" t="s">
        <v>54</v>
      </c>
      <c r="AT199">
        <v>3204</v>
      </c>
      <c r="AU199" t="s">
        <v>55</v>
      </c>
    </row>
    <row r="200" spans="1:47" x14ac:dyDescent="0.25">
      <c r="A200" t="s">
        <v>136</v>
      </c>
      <c r="B200" s="1">
        <v>38555</v>
      </c>
      <c r="C200" t="s">
        <v>48</v>
      </c>
      <c r="D200" t="s">
        <v>49</v>
      </c>
      <c r="E200" s="2">
        <v>46065</v>
      </c>
      <c r="F200" t="s">
        <v>222</v>
      </c>
      <c r="G200" t="s">
        <v>223</v>
      </c>
      <c r="H200" s="3">
        <v>25800</v>
      </c>
      <c r="I200" s="3">
        <v>25800</v>
      </c>
      <c r="J200">
        <v>0</v>
      </c>
      <c r="K200" s="3">
        <v>25800</v>
      </c>
      <c r="L200" s="3">
        <v>6175</v>
      </c>
      <c r="M200" s="3">
        <v>1790.75</v>
      </c>
      <c r="N200" t="s">
        <v>77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114</v>
      </c>
      <c r="X200" s="4">
        <v>0</v>
      </c>
      <c r="Y200" t="s">
        <v>62</v>
      </c>
      <c r="AB200" s="3"/>
      <c r="AK200" s="5"/>
    </row>
    <row r="201" spans="1:47" x14ac:dyDescent="0.25">
      <c r="A201" t="s">
        <v>63</v>
      </c>
      <c r="B201" s="1">
        <v>6175</v>
      </c>
      <c r="C201">
        <v>0</v>
      </c>
      <c r="D201">
        <v>0</v>
      </c>
      <c r="E201" s="2">
        <v>0</v>
      </c>
      <c r="F201">
        <v>0</v>
      </c>
      <c r="G201" s="3">
        <v>15000</v>
      </c>
      <c r="H201" s="3" t="s">
        <v>54</v>
      </c>
      <c r="I201" s="3" t="s">
        <v>59</v>
      </c>
      <c r="K201" s="3" t="s">
        <v>80</v>
      </c>
      <c r="L201" s="3" t="s">
        <v>92</v>
      </c>
      <c r="M201" s="3">
        <v>46065.630567129629</v>
      </c>
      <c r="Q201" t="s">
        <v>54</v>
      </c>
      <c r="R201">
        <v>0</v>
      </c>
      <c r="T201" t="s">
        <v>54</v>
      </c>
      <c r="U201" t="s">
        <v>54</v>
      </c>
      <c r="V201">
        <v>4212</v>
      </c>
      <c r="W201" t="s">
        <v>55</v>
      </c>
      <c r="X201" s="4"/>
      <c r="AB201" s="3"/>
      <c r="AK201" s="5"/>
    </row>
    <row r="202" spans="1:47" x14ac:dyDescent="0.25">
      <c r="A202" t="s">
        <v>96</v>
      </c>
      <c r="B202" s="1">
        <v>38556</v>
      </c>
      <c r="C202" t="s">
        <v>48</v>
      </c>
      <c r="D202" t="s">
        <v>49</v>
      </c>
      <c r="E202" s="2">
        <v>46065</v>
      </c>
      <c r="F202" t="s">
        <v>224</v>
      </c>
      <c r="G202" s="3" t="s">
        <v>69</v>
      </c>
      <c r="H202" s="3">
        <v>18300.5</v>
      </c>
      <c r="I202" s="3">
        <v>18300.5</v>
      </c>
      <c r="J202">
        <v>0</v>
      </c>
      <c r="K202" s="3">
        <v>18300.5</v>
      </c>
      <c r="L202" s="3">
        <v>4223.25</v>
      </c>
      <c r="M202" s="3">
        <v>1646.07</v>
      </c>
      <c r="N202" t="s">
        <v>77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83</v>
      </c>
      <c r="V202" t="s">
        <v>225</v>
      </c>
      <c r="W202" t="s">
        <v>85</v>
      </c>
      <c r="X202" s="4">
        <v>0</v>
      </c>
      <c r="Y202" t="s">
        <v>62</v>
      </c>
      <c r="AE202" s="3"/>
      <c r="AK202" s="5"/>
    </row>
    <row r="203" spans="1:47" x14ac:dyDescent="0.25">
      <c r="A203" t="s">
        <v>63</v>
      </c>
      <c r="B203" s="1">
        <v>2337</v>
      </c>
      <c r="C203">
        <v>0</v>
      </c>
      <c r="D203">
        <v>0</v>
      </c>
      <c r="E203" s="2">
        <v>0</v>
      </c>
      <c r="F203" s="3">
        <v>1886.25</v>
      </c>
      <c r="G203" s="3">
        <v>7450</v>
      </c>
      <c r="H203" s="3" t="s">
        <v>54</v>
      </c>
      <c r="I203" s="3" t="s">
        <v>59</v>
      </c>
      <c r="K203" s="3" t="s">
        <v>80</v>
      </c>
      <c r="L203" t="s">
        <v>92</v>
      </c>
      <c r="M203" s="3">
        <v>46065.630694444444</v>
      </c>
      <c r="Q203" t="s">
        <v>54</v>
      </c>
      <c r="R203">
        <v>0</v>
      </c>
      <c r="T203" t="s">
        <v>54</v>
      </c>
      <c r="U203" t="s">
        <v>54</v>
      </c>
      <c r="V203">
        <v>4014</v>
      </c>
      <c r="W203" t="s">
        <v>55</v>
      </c>
      <c r="X203" s="4"/>
      <c r="AK203" s="5"/>
    </row>
    <row r="204" spans="1:47" x14ac:dyDescent="0.25">
      <c r="A204" t="s">
        <v>96</v>
      </c>
      <c r="B204" s="1">
        <v>38557</v>
      </c>
      <c r="C204" t="s">
        <v>48</v>
      </c>
      <c r="D204" t="s">
        <v>49</v>
      </c>
      <c r="E204" s="2">
        <v>46065</v>
      </c>
      <c r="F204" t="s">
        <v>224</v>
      </c>
      <c r="G204" s="3" t="s">
        <v>69</v>
      </c>
      <c r="H204" s="3">
        <v>18300.5</v>
      </c>
      <c r="I204" s="3">
        <v>18300.5</v>
      </c>
      <c r="J204">
        <v>0</v>
      </c>
      <c r="K204" s="3">
        <v>18300.5</v>
      </c>
      <c r="L204" s="3">
        <v>4223.25</v>
      </c>
      <c r="M204" s="3">
        <v>1646.07</v>
      </c>
      <c r="N204" t="s">
        <v>77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83</v>
      </c>
      <c r="V204" t="s">
        <v>225</v>
      </c>
      <c r="W204" t="s">
        <v>85</v>
      </c>
      <c r="X204" s="4">
        <v>0</v>
      </c>
      <c r="Y204" t="s">
        <v>62</v>
      </c>
      <c r="AK204" s="5"/>
    </row>
    <row r="205" spans="1:47" x14ac:dyDescent="0.25">
      <c r="A205" t="s">
        <v>63</v>
      </c>
      <c r="B205" s="1">
        <v>2337</v>
      </c>
      <c r="C205">
        <v>0</v>
      </c>
      <c r="D205">
        <v>0</v>
      </c>
      <c r="E205" s="2">
        <v>0</v>
      </c>
      <c r="F205" s="3">
        <v>1886.25</v>
      </c>
      <c r="G205" s="3">
        <v>7450</v>
      </c>
      <c r="H205" s="3" t="s">
        <v>54</v>
      </c>
      <c r="I205" s="3" t="s">
        <v>59</v>
      </c>
      <c r="K205" s="3" t="s">
        <v>80</v>
      </c>
      <c r="L205" s="3" t="s">
        <v>92</v>
      </c>
      <c r="M205" s="3">
        <v>46065.630914351852</v>
      </c>
      <c r="Q205" t="s">
        <v>54</v>
      </c>
      <c r="R205">
        <v>0</v>
      </c>
      <c r="T205" t="s">
        <v>54</v>
      </c>
      <c r="U205" t="s">
        <v>54</v>
      </c>
      <c r="V205">
        <v>4014</v>
      </c>
      <c r="W205" t="s">
        <v>55</v>
      </c>
      <c r="X205" s="4"/>
      <c r="AB205" s="3"/>
      <c r="AD205" s="3"/>
      <c r="AE205" s="3"/>
      <c r="AK205" s="5"/>
    </row>
    <row r="206" spans="1:47" x14ac:dyDescent="0.25">
      <c r="A206" t="s">
        <v>47</v>
      </c>
      <c r="B206" s="1">
        <v>38559</v>
      </c>
      <c r="C206" t="s">
        <v>48</v>
      </c>
      <c r="D206" t="s">
        <v>49</v>
      </c>
      <c r="E206" s="2">
        <v>46066</v>
      </c>
      <c r="F206" s="3" t="s">
        <v>147</v>
      </c>
      <c r="G206" s="3" t="s">
        <v>89</v>
      </c>
      <c r="H206" s="3">
        <v>33350</v>
      </c>
      <c r="I206" s="3">
        <v>33350</v>
      </c>
      <c r="J206">
        <v>0</v>
      </c>
      <c r="K206" s="3">
        <v>38352.5</v>
      </c>
      <c r="L206" s="3">
        <v>5077.5</v>
      </c>
      <c r="M206" s="3">
        <v>3239.45</v>
      </c>
      <c r="N206" t="s">
        <v>52</v>
      </c>
      <c r="O206" t="s">
        <v>53</v>
      </c>
      <c r="P206" t="s">
        <v>53</v>
      </c>
      <c r="Q206" t="s">
        <v>53</v>
      </c>
      <c r="R206" t="s">
        <v>54</v>
      </c>
      <c r="S206" t="s">
        <v>54</v>
      </c>
      <c r="T206" t="s">
        <v>55</v>
      </c>
      <c r="U206">
        <v>126</v>
      </c>
      <c r="V206" t="s">
        <v>56</v>
      </c>
      <c r="W206" t="s">
        <v>95</v>
      </c>
      <c r="X206" s="4">
        <v>0</v>
      </c>
      <c r="Y206" t="s">
        <v>62</v>
      </c>
    </row>
    <row r="207" spans="1:47" x14ac:dyDescent="0.25">
      <c r="A207" t="s">
        <v>63</v>
      </c>
      <c r="B207" s="1">
        <v>0</v>
      </c>
      <c r="C207">
        <v>0</v>
      </c>
      <c r="D207" s="3">
        <v>5077.5</v>
      </c>
      <c r="E207" s="2">
        <v>0</v>
      </c>
      <c r="F207">
        <v>0</v>
      </c>
      <c r="G207" s="3">
        <v>2500</v>
      </c>
      <c r="H207" s="3" t="s">
        <v>54</v>
      </c>
      <c r="I207" s="3" t="s">
        <v>59</v>
      </c>
      <c r="J207" t="s">
        <v>148</v>
      </c>
      <c r="K207" s="3" t="s">
        <v>60</v>
      </c>
      <c r="L207" s="3" t="s">
        <v>60</v>
      </c>
      <c r="M207" s="3">
        <v>46066.471296296295</v>
      </c>
      <c r="Q207" t="s">
        <v>54</v>
      </c>
      <c r="R207">
        <v>0</v>
      </c>
      <c r="T207" t="s">
        <v>54</v>
      </c>
      <c r="U207" t="s">
        <v>54</v>
      </c>
      <c r="V207">
        <v>8478</v>
      </c>
      <c r="W207" t="s">
        <v>55</v>
      </c>
      <c r="X207" s="4"/>
      <c r="AE207" s="3"/>
      <c r="AK207" s="5"/>
    </row>
    <row r="208" spans="1:47" x14ac:dyDescent="0.25">
      <c r="A208" t="s">
        <v>47</v>
      </c>
      <c r="B208" s="1">
        <v>38560</v>
      </c>
      <c r="C208" t="s">
        <v>48</v>
      </c>
      <c r="D208" t="s">
        <v>49</v>
      </c>
      <c r="E208" s="2">
        <v>46066</v>
      </c>
      <c r="F208" s="3" t="s">
        <v>147</v>
      </c>
      <c r="G208" s="3" t="s">
        <v>89</v>
      </c>
      <c r="H208" s="3">
        <v>33350</v>
      </c>
      <c r="I208" s="3">
        <v>33350</v>
      </c>
      <c r="J208">
        <v>0</v>
      </c>
      <c r="K208" s="3">
        <v>38352.5</v>
      </c>
      <c r="L208" s="3">
        <v>5077.5</v>
      </c>
      <c r="M208" s="3">
        <v>3239.45</v>
      </c>
      <c r="N208" t="s">
        <v>52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126</v>
      </c>
      <c r="V208" t="s">
        <v>56</v>
      </c>
      <c r="W208" t="s">
        <v>95</v>
      </c>
      <c r="X208" s="4">
        <v>0</v>
      </c>
      <c r="Y208" t="s">
        <v>62</v>
      </c>
      <c r="AB208" s="3"/>
      <c r="AE208" s="3"/>
      <c r="AK208" s="5"/>
    </row>
    <row r="209" spans="1:37" x14ac:dyDescent="0.25">
      <c r="A209" t="s">
        <v>63</v>
      </c>
      <c r="B209" s="1">
        <v>0</v>
      </c>
      <c r="C209">
        <v>0</v>
      </c>
      <c r="D209" s="3">
        <v>5077.5</v>
      </c>
      <c r="E209" s="2">
        <v>0</v>
      </c>
      <c r="F209">
        <v>0</v>
      </c>
      <c r="G209" s="3">
        <v>2500</v>
      </c>
      <c r="H209" s="3" t="s">
        <v>54</v>
      </c>
      <c r="I209" s="3" t="s">
        <v>59</v>
      </c>
      <c r="J209" t="s">
        <v>148</v>
      </c>
      <c r="K209" s="3" t="s">
        <v>60</v>
      </c>
      <c r="L209" s="3" t="s">
        <v>60</v>
      </c>
      <c r="M209" s="3">
        <v>46066.472291666665</v>
      </c>
      <c r="Q209" t="s">
        <v>54</v>
      </c>
      <c r="R209">
        <v>0</v>
      </c>
      <c r="T209" t="s">
        <v>54</v>
      </c>
      <c r="U209" t="s">
        <v>54</v>
      </c>
      <c r="V209">
        <v>8478</v>
      </c>
      <c r="W209" t="s">
        <v>55</v>
      </c>
      <c r="X209" s="4"/>
      <c r="Z209" s="3"/>
      <c r="AE209" s="3"/>
      <c r="AK209" s="5"/>
    </row>
    <row r="210" spans="1:37" x14ac:dyDescent="0.25">
      <c r="A210" t="s">
        <v>47</v>
      </c>
      <c r="B210" s="1">
        <v>38561</v>
      </c>
      <c r="C210" t="s">
        <v>48</v>
      </c>
      <c r="D210" s="3" t="s">
        <v>49</v>
      </c>
      <c r="E210" s="2">
        <v>46066</v>
      </c>
      <c r="F210" t="s">
        <v>147</v>
      </c>
      <c r="G210" s="3" t="s">
        <v>89</v>
      </c>
      <c r="H210" s="3">
        <v>33350</v>
      </c>
      <c r="I210" s="3">
        <v>33350</v>
      </c>
      <c r="J210">
        <v>0</v>
      </c>
      <c r="K210" s="3">
        <v>38352.5</v>
      </c>
      <c r="L210" s="3">
        <v>5077.5</v>
      </c>
      <c r="M210" s="3">
        <v>3239.45</v>
      </c>
      <c r="N210" t="s">
        <v>52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126</v>
      </c>
      <c r="V210" t="s">
        <v>56</v>
      </c>
      <c r="W210" t="s">
        <v>95</v>
      </c>
      <c r="X210" s="4">
        <v>0</v>
      </c>
      <c r="Y210" t="s">
        <v>62</v>
      </c>
      <c r="Z210" s="3"/>
      <c r="AB210" s="3"/>
      <c r="AE210" s="3"/>
      <c r="AK210" s="5"/>
    </row>
    <row r="211" spans="1:37" x14ac:dyDescent="0.25">
      <c r="A211" t="s">
        <v>63</v>
      </c>
      <c r="B211" s="1">
        <v>0</v>
      </c>
      <c r="C211">
        <v>0</v>
      </c>
      <c r="D211" s="3">
        <v>5077.5</v>
      </c>
      <c r="E211" s="2">
        <v>0</v>
      </c>
      <c r="F211">
        <v>0</v>
      </c>
      <c r="G211" s="3">
        <v>2500</v>
      </c>
      <c r="H211" s="3" t="s">
        <v>54</v>
      </c>
      <c r="I211" s="3" t="s">
        <v>59</v>
      </c>
      <c r="J211" t="s">
        <v>148</v>
      </c>
      <c r="K211" s="3" t="s">
        <v>60</v>
      </c>
      <c r="L211" s="3" t="s">
        <v>60</v>
      </c>
      <c r="M211" s="3">
        <v>46066.473506944443</v>
      </c>
      <c r="Q211" t="s">
        <v>54</v>
      </c>
      <c r="R211">
        <v>0</v>
      </c>
      <c r="T211" t="s">
        <v>54</v>
      </c>
      <c r="U211" t="s">
        <v>54</v>
      </c>
      <c r="V211">
        <v>8478</v>
      </c>
      <c r="W211" t="s">
        <v>55</v>
      </c>
      <c r="X211" s="4"/>
      <c r="Z211" s="3"/>
      <c r="AE211" s="3"/>
      <c r="AK211" s="5"/>
    </row>
    <row r="212" spans="1:37" x14ac:dyDescent="0.25">
      <c r="A212" t="s">
        <v>47</v>
      </c>
      <c r="B212" s="1">
        <v>38562</v>
      </c>
      <c r="C212" t="s">
        <v>48</v>
      </c>
      <c r="D212" t="s">
        <v>49</v>
      </c>
      <c r="E212" s="2">
        <v>46066</v>
      </c>
      <c r="F212" t="s">
        <v>147</v>
      </c>
      <c r="G212" t="s">
        <v>89</v>
      </c>
      <c r="H212" s="3">
        <v>33350</v>
      </c>
      <c r="I212" s="3">
        <v>33350</v>
      </c>
      <c r="J212">
        <v>0</v>
      </c>
      <c r="K212" s="3">
        <v>38352.5</v>
      </c>
      <c r="L212" s="3">
        <v>5077.5</v>
      </c>
      <c r="M212" s="3">
        <v>3239.45</v>
      </c>
      <c r="N212" t="s">
        <v>52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126</v>
      </c>
      <c r="V212" t="s">
        <v>56</v>
      </c>
      <c r="W212" t="s">
        <v>95</v>
      </c>
      <c r="X212" s="4">
        <v>0</v>
      </c>
      <c r="Y212" t="s">
        <v>62</v>
      </c>
      <c r="Z212" s="3"/>
      <c r="AE212" s="3"/>
      <c r="AK212" s="5"/>
    </row>
    <row r="213" spans="1:37" x14ac:dyDescent="0.25">
      <c r="A213" t="s">
        <v>63</v>
      </c>
      <c r="B213" s="1">
        <v>0</v>
      </c>
      <c r="C213">
        <v>0</v>
      </c>
      <c r="D213" s="3">
        <v>5077.5</v>
      </c>
      <c r="E213" s="2">
        <v>0</v>
      </c>
      <c r="F213">
        <v>0</v>
      </c>
      <c r="G213" s="3">
        <v>2500</v>
      </c>
      <c r="H213" s="3" t="s">
        <v>54</v>
      </c>
      <c r="I213" s="3" t="s">
        <v>59</v>
      </c>
      <c r="J213" t="s">
        <v>148</v>
      </c>
      <c r="K213" s="3" t="s">
        <v>60</v>
      </c>
      <c r="L213" s="3" t="s">
        <v>60</v>
      </c>
      <c r="M213" s="3">
        <v>46066.474687499998</v>
      </c>
      <c r="Q213" t="s">
        <v>54</v>
      </c>
      <c r="R213">
        <v>0</v>
      </c>
      <c r="T213" t="s">
        <v>54</v>
      </c>
      <c r="U213" t="s">
        <v>54</v>
      </c>
      <c r="V213">
        <v>8478</v>
      </c>
      <c r="W213" t="s">
        <v>55</v>
      </c>
      <c r="X213" s="4"/>
      <c r="Z213" s="3"/>
      <c r="AE213" s="3"/>
      <c r="AK213" s="5"/>
    </row>
    <row r="214" spans="1:37" x14ac:dyDescent="0.25">
      <c r="A214" t="s">
        <v>47</v>
      </c>
      <c r="B214" s="1">
        <v>38564</v>
      </c>
      <c r="C214" t="s">
        <v>48</v>
      </c>
      <c r="D214" t="s">
        <v>49</v>
      </c>
      <c r="E214" s="2">
        <v>46070</v>
      </c>
      <c r="F214" t="s">
        <v>93</v>
      </c>
      <c r="G214" t="s">
        <v>94</v>
      </c>
      <c r="H214" s="3">
        <v>1345.1</v>
      </c>
      <c r="I214" s="3">
        <v>1345.1</v>
      </c>
      <c r="J214">
        <v>0</v>
      </c>
      <c r="K214" s="3">
        <v>1546.87</v>
      </c>
      <c r="L214" s="3">
        <v>103.95</v>
      </c>
      <c r="M214" s="3">
        <v>77.75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 t="s">
        <v>95</v>
      </c>
      <c r="X214" s="4">
        <v>0</v>
      </c>
      <c r="Y214" t="s">
        <v>62</v>
      </c>
      <c r="Z214" s="3"/>
      <c r="AE214" s="3"/>
      <c r="AK214" s="5"/>
    </row>
    <row r="215" spans="1:37" x14ac:dyDescent="0.25">
      <c r="A215" t="s">
        <v>63</v>
      </c>
      <c r="B215" s="3">
        <v>0</v>
      </c>
      <c r="C215">
        <v>0</v>
      </c>
      <c r="D215">
        <v>103.95</v>
      </c>
      <c r="E215" s="2">
        <v>0</v>
      </c>
      <c r="F215">
        <v>0</v>
      </c>
      <c r="G215" s="3">
        <v>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46070.327094907407</v>
      </c>
      <c r="Q215" t="s">
        <v>54</v>
      </c>
      <c r="R215">
        <v>0</v>
      </c>
      <c r="T215" t="s">
        <v>54</v>
      </c>
      <c r="U215" t="s">
        <v>54</v>
      </c>
      <c r="V215">
        <v>924</v>
      </c>
      <c r="W215" t="s">
        <v>55</v>
      </c>
      <c r="X215" s="4"/>
      <c r="AE215" s="3"/>
      <c r="AK215" s="5"/>
    </row>
    <row r="216" spans="1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1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1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1:37" x14ac:dyDescent="0.25">
      <c r="B219" s="1"/>
      <c r="D219" s="3"/>
      <c r="E219" s="2"/>
      <c r="G219" s="3"/>
      <c r="X219" s="4"/>
    </row>
    <row r="220" spans="1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1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1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1:37" x14ac:dyDescent="0.25">
      <c r="B223" s="1"/>
      <c r="D223" s="3"/>
      <c r="E223" s="2"/>
      <c r="G223" s="3"/>
      <c r="H223" s="3"/>
      <c r="I223" s="3"/>
      <c r="K223" s="3"/>
      <c r="X223" s="4"/>
    </row>
    <row r="224" spans="1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215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sqref="A1:E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2026</v>
      </c>
    </row>
    <row r="3" spans="1:5" x14ac:dyDescent="0.25">
      <c r="A3" t="s">
        <v>10</v>
      </c>
      <c r="B3" s="11">
        <f>SUBTOTAL(9,Planilha1!K1:K1825)</f>
        <v>1903431.87</v>
      </c>
      <c r="D3" t="s">
        <v>10</v>
      </c>
      <c r="E3" s="11">
        <v>442403.79999999987</v>
      </c>
    </row>
    <row r="4" spans="1:5" x14ac:dyDescent="0.25">
      <c r="A4" t="s">
        <v>11</v>
      </c>
      <c r="B4" s="9">
        <f>SUBTOTAL(9,Planilha1!L1:L1820)</f>
        <v>313431.23000000004</v>
      </c>
      <c r="D4" t="s">
        <v>11</v>
      </c>
      <c r="E4" s="9">
        <v>83459.710000000006</v>
      </c>
    </row>
    <row r="5" spans="1:5" x14ac:dyDescent="0.25">
      <c r="A5" s="3" t="s">
        <v>12</v>
      </c>
      <c r="B5" s="12">
        <f>SUBTOTAL(9,Planilha1!M1:M1821)</f>
        <v>3003571.5794212953</v>
      </c>
      <c r="D5" t="s">
        <v>12</v>
      </c>
      <c r="E5" s="12">
        <v>33872.180000000008</v>
      </c>
    </row>
    <row r="6" spans="1:5" x14ac:dyDescent="0.25">
      <c r="A6" t="s">
        <v>214</v>
      </c>
      <c r="B6" s="10">
        <f>SUBTOTAL(3,Planilha1!D2:D1821)</f>
        <v>214</v>
      </c>
      <c r="D6" t="s">
        <v>214</v>
      </c>
      <c r="E6" s="10">
        <v>47</v>
      </c>
    </row>
    <row r="7" spans="1:5" x14ac:dyDescent="0.25">
      <c r="A7" t="s">
        <v>217</v>
      </c>
      <c r="B7" s="13">
        <f>B3/B6</f>
        <v>8894.541448598131</v>
      </c>
      <c r="D7" t="s">
        <v>217</v>
      </c>
      <c r="E7" s="13">
        <v>9412.846808510636</v>
      </c>
    </row>
    <row r="8" spans="1:5" x14ac:dyDescent="0.25">
      <c r="A8" t="s">
        <v>216</v>
      </c>
      <c r="B8" s="13">
        <f>B3/B4</f>
        <v>6.0728851748436172</v>
      </c>
      <c r="D8" t="s">
        <v>216</v>
      </c>
      <c r="E8" s="13">
        <v>5.3008068204406635</v>
      </c>
    </row>
    <row r="9" spans="1:5" x14ac:dyDescent="0.25">
      <c r="A9" t="s">
        <v>215</v>
      </c>
      <c r="B9" s="13">
        <f>B3/B5</f>
        <v>0.63372282619838161</v>
      </c>
      <c r="D9" t="s">
        <v>215</v>
      </c>
      <c r="E9" s="13">
        <v>13.060978065185051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2026-02-17T12:26:50Z</dcterms:modified>
</cp:coreProperties>
</file>